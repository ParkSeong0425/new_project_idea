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아이디어 제안서 (1)" sheetId="1" r:id="rId1"/>
    <sheet name="아이디어 제안서 (2)" sheetId="2" r:id="rId2"/>
  </sheet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"/>
    <numFmt numFmtId="165" formatCode="0.0%"/>
    <numFmt numFmtId="166" formatCode="#,##0&quot;대&quot;"/>
    <numFmt numFmtId="167" formatCode="0%"/>
    <numFmt numFmtId="168" formatCode="0.0&quot;년&quot;"/>
  </numFmts>
  <fonts count="10">
    <font>
      <sz val="10"/>
      <color rgb="FF262626"/>
      <name val="맑은 고딕"/>
      <family val="3"/>
      <charset val="129"/>
    </font>
    <font>
      <b/>
      <sz val="16"/>
      <color rgb="FF262626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1"/>
      <color rgb="FF262626"/>
      <name val="맑은 고딕"/>
      <family val="3"/>
      <charset val="129"/>
    </font>
    <font>
      <b/>
      <sz val="10"/>
      <color rgb="FF262626"/>
      <name val="맑은 고딕"/>
      <family val="3"/>
      <charset val="129"/>
    </font>
    <font>
      <sz val="10"/>
      <color rgb="FF164A8A"/>
      <name val="맑은 고딕"/>
      <family val="3"/>
      <charset val="129"/>
    </font>
    <font>
      <sz val="10"/>
      <color rgb="FF0000FF"/>
      <name val="맑은 고딕"/>
      <family val="3"/>
      <charset val="129"/>
    </font>
    <font>
      <u/>
      <sz val="10"/>
      <color rgb="FF164A8A"/>
      <name val="맑은 고딕"/>
      <family val="3"/>
      <charset val="129"/>
    </font>
    <font>
      <b/>
      <sz val="10"/>
      <color rgb="FF164A8A"/>
      <name val="맑은 고딕"/>
      <family val="3"/>
      <charset val="129"/>
    </font>
    <font>
      <sz val="9"/>
      <color rgb="FF666666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9E5"/>
        <bgColor indexed="64"/>
      </patternFill>
    </fill>
  </fills>
  <borders count="3">
    <border>
      <left/>
      <right/>
      <top/>
      <bottom/>
      <diagonal/>
    </border>
    <border>
      <left style="thin">
        <color rgb="FFBFC4C9"/>
      </left>
      <right style="thin">
        <color rgb="FFBFC4C9"/>
      </right>
      <top style="thin">
        <color rgb="FFBFC4C9"/>
      </top>
      <bottom style="thin">
        <color rgb="FFBFC4C9"/>
      </bottom>
      <diagonal/>
    </border>
    <border>
      <left/>
      <right/>
      <top/>
      <bottom style="medium">
        <color rgb="FF7E879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64" fontId="6" fillId="4" borderId="1" xfId="0" applyFont="1" applyFill="1" applyBorder="1" applyAlignment="1" applyNumberFormat="1">
      <alignment horizontal="center" vertical="center"/>
    </xf>
    <xf numFmtId="164" fontId="0" fillId="0" borderId="1" xfId="0" applyFont="1" applyFill="1" applyBorder="1" applyAlignment="1" applyNumberFormat="1">
      <alignment horizontal="center" vertical="center"/>
    </xf>
    <xf numFmtId="165" fontId="0" fillId="0" borderId="1" xfId="0" applyFont="1" applyFill="1" applyBorder="1" applyAlignment="1" applyNumberFormat="1">
      <alignment horizontal="center" vertical="center"/>
    </xf>
    <xf numFmtId="166" fontId="0" fillId="0" borderId="1" xfId="0" applyFont="1" applyFill="1" applyBorder="1" applyAlignment="1" applyNumberFormat="1">
      <alignment horizontal="center" vertical="center"/>
    </xf>
    <xf numFmtId="167" fontId="6" fillId="4" borderId="1" xfId="0" applyFont="1" applyFill="1" applyBorder="1" applyAlignment="1" applyNumberFormat="1">
      <alignment horizontal="center" vertical="center"/>
    </xf>
    <xf numFmtId="168" fontId="0" fillId="0" borderId="1" xfId="0" applyFont="1" applyFill="1" applyBorder="1" applyAlignment="1" applyNumberFormat="1">
      <alignment horizontal="center" vertical="center"/>
    </xf>
  </cellXfs>
  <cellStyles count="1">
    <cellStyle name="표준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zoomScale="90" workbookViewId="0"/>
  </sheetViews>
  <sheetFormatPr defaultRowHeight="17"/>
  <cols>
    <col min="1" max="1" width="2" customWidth="1"/>
    <col min="2" max="2" width="16" customWidth="1"/>
    <col min="3" max="3" width="16" customWidth="1"/>
    <col min="4" max="4" width="16" customWidth="1"/>
    <col min="5" max="5" width="14" customWidth="1"/>
    <col min="6" max="6" width="14" customWidth="1"/>
    <col min="7" max="7" width="14" customWidth="1"/>
    <col min="8" max="8" width="14" customWidth="1"/>
    <col min="9" max="9" width="16" customWidth="1"/>
    <col min="10" max="10" width="2" customWidth="1"/>
  </cols>
  <sheetData>
    <row r="1" ht="10" customHeight="1"/>
    <row r="2" ht="34" customHeight="1">
      <c r="B2" s="1" t="inlineStr">
        <is>
          <t xml:space="preserve">아이디어 제안서 (1)</t>
        </is>
      </c>
      <c r="C2" s="1"/>
      <c r="D2" s="1"/>
      <c r="E2" s="1"/>
      <c r="F2" s="1"/>
      <c r="G2" s="1"/>
      <c r="H2" s="1"/>
      <c r="I2" s="1"/>
    </row>
    <row r="3" ht="25" customHeight="1">
      <c r="B3" s="2" t="inlineStr">
        <is>
          <t xml:space="preserve">3D 로더 고장 예방 시스템</t>
        </is>
      </c>
      <c r="C3" s="2"/>
      <c r="D3" s="2"/>
      <c r="E3" s="2"/>
      <c r="F3" s="2"/>
      <c r="G3" s="2"/>
      <c r="H3" s="2"/>
      <c r="I3" s="2"/>
    </row>
    <row r="4" ht="10" customHeight="1"/>
    <row r="5" ht="40" customHeight="1">
      <c r="B5" s="4" t="inlineStr">
        <is>
          <t xml:space="preserve">아이디어명</t>
        </is>
      </c>
      <c r="C5" s="5" t="inlineStr">
        <is>
          <t xml:space="preserve">3D 로더 고장 예방 시스템</t>
        </is>
      </c>
      <c r="D5" s="5"/>
      <c r="E5" s="5"/>
      <c r="F5" s="4" t="inlineStr">
        <is>
          <t xml:space="preserve">작성자</t>
        </is>
      </c>
      <c r="G5" s="5" t="inlineStr">
        <is>
          <t xml:space="preserve">박성원</t>
        </is>
      </c>
      <c r="H5" s="4" t="inlineStr">
        <is>
          <t xml:space="preserve">작성일</t>
        </is>
      </c>
      <c r="I5" s="5" t="inlineStr">
        <is>
          <t xml:space="preserve">2026-10-26</t>
        </is>
      </c>
    </row>
    <row r="6" ht="30" customHeight="1">
      <c r="B6" s="4" t="inlineStr">
        <is>
          <t xml:space="preserve">부서 / 직무</t>
        </is>
      </c>
      <c r="C6" s="5" t="inlineStr">
        <is>
          <t xml:space="preserve">HW팀 / 펌웨어 개발</t>
        </is>
      </c>
      <c r="D6" s="5"/>
      <c r="E6" s="5"/>
      <c r="F6" s="4" t="inlineStr">
        <is>
          <t xml:space="preserve">구분</t>
        </is>
      </c>
      <c r="G6" s="5" t="inlineStr">
        <is>
          <t xml:space="preserve">사내 제품 개선</t>
        </is>
      </c>
      <c r="H6" s="5"/>
      <c r="I6" s="5"/>
    </row>
    <row r="7" ht="12" customHeight="1"/>
    <row r="8" ht="25" customHeight="1">
      <c r="B8" s="3" t="inlineStr">
        <is>
          <t xml:space="preserve">1. 핵심 요약</t>
        </is>
      </c>
      <c r="C8" s="3"/>
      <c r="D8" s="3"/>
      <c r="E8" s="3"/>
      <c r="F8" s="3"/>
      <c r="G8" s="3"/>
      <c r="H8" s="3"/>
      <c r="I8" s="3"/>
    </row>
    <row r="9" ht="26" customHeight="1">
      <c r="B9" s="6" t="inlineStr">
        <is>
          <t xml:space="preserve">1단계 추가 부품</t>
        </is>
      </c>
      <c r="C9" s="6"/>
      <c r="D9" s="6" t="inlineStr">
        <is>
          <t xml:space="preserve">추가 배선</t>
        </is>
      </c>
      <c r="E9" s="6"/>
      <c r="F9" s="6" t="inlineStr">
        <is>
          <t xml:space="preserve">판단 방식</t>
        </is>
      </c>
      <c r="G9" s="6"/>
      <c r="H9" s="6" t="inlineStr">
        <is>
          <t xml:space="preserve">전체 기간</t>
        </is>
      </c>
      <c r="I9" s="6"/>
    </row>
    <row r="10" ht="40" customHeight="1">
      <c r="B10" s="4" t="inlineStr">
        <is>
          <t xml:space="preserve">없음 (펌웨어 수정)</t>
        </is>
      </c>
      <c r="C10" s="4"/>
      <c r="D10" s="5" t="inlineStr">
        <is>
          <t xml:space="preserve">로봇 위 연결선 약 30cm 1개</t>
        </is>
      </c>
      <c r="E10" s="5"/>
      <c r="F10" s="5" t="inlineStr">
        <is>
          <t xml:space="preserve">평소 값과 비교 (AI 미사용)</t>
        </is>
      </c>
      <c r="G10" s="5"/>
      <c r="H10" s="5" t="inlineStr">
        <is>
          <t xml:space="preserve">약 1년</t>
        </is>
      </c>
      <c r="I10" s="5"/>
    </row>
    <row r="11" ht="12" customHeight="1"/>
    <row r="12" ht="25" customHeight="1">
      <c r="B12" s="3" t="inlineStr">
        <is>
          <t xml:space="preserve">2. 제안 내용</t>
        </is>
      </c>
      <c r="C12" s="3"/>
      <c r="D12" s="3"/>
      <c r="E12" s="3"/>
      <c r="F12" s="3"/>
      <c r="G12" s="3"/>
      <c r="H12" s="3"/>
      <c r="I12" s="3"/>
    </row>
    <row r="13" ht="55" customHeight="1">
      <c r="B13" s="4" t="inlineStr">
        <is>
          <t xml:space="preserve">제안 배경</t>
        </is>
      </c>
      <c r="C13" s="5" t="inlineStr">
        <is>
          <t xml:space="preserve">고장이 나도 당시 데이터가 남지 않아, 원인을 찾으려면 현장에 가서 재현해야 함. 설정값 변경이나 통신 간격 문제처럼 기록만 있었으면 사무실에서 확인할 수 있었던 사례도 출동으로 처리함.</t>
        </is>
      </c>
      <c r="D13" s="5"/>
      <c r="E13" s="5"/>
      <c r="F13" s="5"/>
      <c r="G13" s="5"/>
      <c r="H13" s="5"/>
      <c r="I13" s="5"/>
    </row>
    <row r="14" ht="40" customHeight="1">
      <c r="B14" s="4" t="inlineStr">
        <is>
          <t xml:space="preserve">제안 내용</t>
        </is>
      </c>
      <c r="C14" s="5" t="inlineStr">
        <is>
          <t xml:space="preserve">메인 보드 펌웨어에 동작 기록과 이상 판단 기능을 추가함. 기록만으로 부족한 고장은 로봇에 진동 측정 보드(캐리지 노드)를 추가하여 확인함.</t>
        </is>
      </c>
      <c r="D14" s="5"/>
      <c r="E14" s="5"/>
      <c r="F14" s="5"/>
      <c r="G14" s="5"/>
      <c r="H14" s="5"/>
      <c r="I14" s="5"/>
    </row>
    <row r="15" ht="55" customHeight="1">
      <c r="B15" s="4" t="inlineStr">
        <is>
          <t xml:space="preserve">구현 방법</t>
        </is>
      </c>
      <c r="C15" s="5" t="inlineStr">
        <is>
          <t xml:space="preserve">이동할 때마다 모터 위치, 도착 시간, 알람, 통신 오류를 FRAM에 저장하고 최근 7일 평균과 비교하여 주의, 경고를 판단함. 메인 보드 전압, 온도, 리셋 기록도 함께 확인함.</t>
        </is>
      </c>
      <c r="D15" s="5"/>
      <c r="E15" s="5"/>
      <c r="F15" s="5"/>
      <c r="G15" s="5"/>
      <c r="H15" s="5"/>
      <c r="I15" s="5"/>
    </row>
    <row r="16" ht="55" customHeight="1">
      <c r="B16" s="4" t="inlineStr">
        <is>
          <t xml:space="preserve">배선</t>
        </is>
      </c>
      <c r="C16" s="5" t="inlineStr">
        <is>
          <t xml:space="preserve">캐리지 노드는 케이블 베어 안에 이미 있는 24V와 통신선을 로봇 위에서 분기하여 사용함. 케이블 베어에 선을 추가하지는 않으나, 로봇 위에 약 30cm 연결선 1개와 커넥터가 추가됨.</t>
        </is>
      </c>
      <c r="D16" s="5"/>
      <c r="E16" s="5"/>
      <c r="F16" s="5"/>
      <c r="G16" s="5"/>
      <c r="H16" s="5"/>
      <c r="I16" s="5"/>
    </row>
    <row r="17" ht="40" customHeight="1">
      <c r="B17" s="4" t="inlineStr">
        <is>
          <t xml:space="preserve">차별성</t>
        </is>
      </c>
      <c r="C17" s="5" t="inlineStr">
        <is>
          <t xml:space="preserve">명령, 설정, 결과를 같은 시간 기준으로 저장하므로 프로그램 문제인지 조립 문제인지 구분할 수 있음.</t>
        </is>
      </c>
      <c r="D17" s="5"/>
      <c r="E17" s="5"/>
      <c r="F17" s="5"/>
      <c r="G17" s="5"/>
      <c r="H17" s="5"/>
      <c r="I17" s="5"/>
    </row>
    <row r="18" ht="40" customHeight="1">
      <c r="B18" s="4" t="inlineStr">
        <is>
          <t xml:space="preserve">적용 대상</t>
        </is>
      </c>
      <c r="C18" s="5" t="inlineStr">
        <is>
          <t xml:space="preserve">신규 로더에 기본 적용하고, 기존 현장은 펌웨어 업데이트로 적용함. 진동 측정 보드는 필요한 현장에 추가 설치함.</t>
        </is>
      </c>
      <c r="D18" s="5"/>
      <c r="E18" s="5"/>
      <c r="F18" s="5"/>
      <c r="G18" s="5"/>
      <c r="H18" s="5"/>
      <c r="I18" s="5"/>
    </row>
    <row r="19" ht="40" customHeight="1">
      <c r="B19" s="4" t="inlineStr">
        <is>
          <t xml:space="preserve">담당 / 비용</t>
        </is>
      </c>
      <c r="C19" s="5" t="inlineStr">
        <is>
          <t xml:space="preserve">담당: HW팀(펌웨어, 회로), SW팀(현장 PC 알림). 1단계는 추가 부품 없음. 진동 측정 보드는 1대당 약 3~6만원, 시제품 PCB 약 30~60만원(추정).</t>
        </is>
      </c>
      <c r="D19" s="5"/>
      <c r="E19" s="5"/>
      <c r="F19" s="5"/>
      <c r="G19" s="5"/>
      <c r="H19" s="5"/>
      <c r="I19" s="5"/>
    </row>
    <row r="20" ht="40" customHeight="1">
      <c r="B20" s="4" t="inlineStr">
        <is>
          <t xml:space="preserve">검증 방법</t>
        </is>
      </c>
      <c r="C20" s="5" t="inlineStr">
        <is>
          <t xml:space="preserve">시험 장비에서 정상 상태로 200회 동작을 기록한 뒤, 레일 이물, 볼트 풀림, 설정 변경 등 고장 조건을 만들어 값이 평소 범위를 벗어나는지 확인함.</t>
        </is>
      </c>
      <c r="D20" s="5"/>
      <c r="E20" s="5"/>
      <c r="F20" s="5"/>
      <c r="G20" s="5"/>
      <c r="H20" s="5"/>
      <c r="I20" s="5"/>
    </row>
    <row r="21" ht="30" customHeight="1">
      <c r="B21" s="4" t="inlineStr">
        <is>
          <t xml:space="preserve">기대 효과</t>
        </is>
      </c>
      <c r="C21" s="5" t="inlineStr">
        <is>
          <t xml:space="preserve">원인 불명 출동 감소, 고장 전 예방 정비, 끼임으로 인한 부품 파손 감소.</t>
        </is>
      </c>
      <c r="D21" s="5"/>
      <c r="E21" s="5"/>
      <c r="F21" s="5"/>
      <c r="G21" s="5"/>
      <c r="H21" s="5"/>
      <c r="I21" s="5"/>
    </row>
    <row r="22" ht="40" customHeight="1">
      <c r="B22" s="4" t="inlineStr">
        <is>
          <t xml:space="preserve">요청 사항</t>
        </is>
      </c>
      <c r="C22" s="5" t="inlineStr">
        <is>
          <t xml:space="preserve">시험 장비 사용 시간, 회로 검토 지원, 현장 PC 프로그램 담당자와 알림 메시지 형식 협의.</t>
        </is>
      </c>
      <c r="D22" s="5"/>
      <c r="E22" s="5"/>
      <c r="F22" s="5"/>
      <c r="G22" s="5"/>
      <c r="H22" s="5"/>
      <c r="I22" s="5"/>
    </row>
    <row r="23" ht="12" customHeight="1"/>
    <row r="24" ht="25" customHeight="1">
      <c r="B24" s="3" t="inlineStr">
        <is>
          <t xml:space="preserve">3. 추진 일정 (2027년)</t>
        </is>
      </c>
      <c r="C24" s="3"/>
      <c r="D24" s="3"/>
      <c r="E24" s="3"/>
      <c r="F24" s="3"/>
      <c r="G24" s="3"/>
      <c r="H24" s="3"/>
      <c r="I24" s="3"/>
    </row>
    <row r="25" ht="26" customHeight="1">
      <c r="B25" s="6" t="inlineStr">
        <is>
          <t xml:space="preserve">구분</t>
        </is>
      </c>
      <c r="C25" s="6" t="inlineStr">
        <is>
          <t xml:space="preserve">1~2월</t>
        </is>
      </c>
      <c r="D25" s="6" t="inlineStr">
        <is>
          <t xml:space="preserve">3~4월</t>
        </is>
      </c>
      <c r="E25" s="6" t="inlineStr">
        <is>
          <t xml:space="preserve">5~6월</t>
        </is>
      </c>
      <c r="F25" s="6" t="inlineStr">
        <is>
          <t xml:space="preserve">7~8월</t>
        </is>
      </c>
      <c r="G25" s="6" t="inlineStr">
        <is>
          <t xml:space="preserve">9~10월</t>
        </is>
      </c>
      <c r="H25" s="6" t="inlineStr">
        <is>
          <t xml:space="preserve">11~12월</t>
        </is>
      </c>
      <c r="I25" s="6" t="inlineStr">
        <is>
          <t xml:space="preserve">2028년</t>
        </is>
      </c>
    </row>
    <row r="26" ht="28" customHeight="1">
      <c r="B26" s="4" t="inlineStr">
        <is>
          <t xml:space="preserve">1단계 펌웨어</t>
        </is>
      </c>
      <c r="C26" s="8" t="inlineStr">
        <is>
          <t xml:space="preserve">기록 및 판단 기능 개발</t>
        </is>
      </c>
      <c r="D26" s="8"/>
      <c r="E26" s="9"/>
      <c r="F26" s="9"/>
      <c r="G26" s="9"/>
      <c r="H26" s="9"/>
      <c r="I26" s="9"/>
    </row>
    <row r="27" ht="40" customHeight="1">
      <c r="B27" s="4" t="inlineStr">
        <is>
          <t xml:space="preserve">시험 및 검토</t>
        </is>
      </c>
      <c r="C27" s="9"/>
      <c r="D27" s="9"/>
      <c r="E27" s="8" t="inlineStr">
        <is>
          <t xml:space="preserve">고장 재현 시험</t>
        </is>
      </c>
      <c r="F27" s="9"/>
      <c r="G27" s="9"/>
      <c r="H27" s="9"/>
      <c r="I27" s="9"/>
    </row>
    <row r="28" ht="40" customHeight="1">
      <c r="B28" s="4" t="inlineStr">
        <is>
          <t xml:space="preserve">2단계 보드</t>
        </is>
      </c>
      <c r="C28" s="9"/>
      <c r="D28" s="9"/>
      <c r="E28" s="9"/>
      <c r="F28" s="8" t="inlineStr">
        <is>
          <t xml:space="preserve">회로, PCB, 펌웨어 개발</t>
        </is>
      </c>
      <c r="G28" s="8"/>
      <c r="H28" s="9"/>
      <c r="I28" s="9"/>
    </row>
    <row r="29" ht="40" customHeight="1">
      <c r="B29" s="4" t="inlineStr">
        <is>
          <t xml:space="preserve">현장 시범</t>
        </is>
      </c>
      <c r="C29" s="9"/>
      <c r="D29" s="9"/>
      <c r="E29" s="9"/>
      <c r="F29" s="9"/>
      <c r="G29" s="9"/>
      <c r="H29" s="8" t="inlineStr">
        <is>
          <t xml:space="preserve">현장 1대 적용</t>
        </is>
      </c>
      <c r="I29" s="9"/>
    </row>
    <row r="30" ht="40" customHeight="1">
      <c r="B30" s="4" t="inlineStr">
        <is>
          <t xml:space="preserve">확대 적용</t>
        </is>
      </c>
      <c r="C30" s="9"/>
      <c r="D30" s="9"/>
      <c r="E30" s="9"/>
      <c r="F30" s="9"/>
      <c r="G30" s="9"/>
      <c r="H30" s="9"/>
      <c r="I30" s="8" t="inlineStr">
        <is>
          <t xml:space="preserve">전체 현장 적용</t>
        </is>
      </c>
    </row>
    <row r="31" ht="26" customHeight="1">
      <c r="B31" s="6" t="inlineStr">
        <is>
          <t xml:space="preserve">번호</t>
        </is>
      </c>
      <c r="C31" s="6" t="inlineStr">
        <is>
          <t xml:space="preserve">세부 작업</t>
        </is>
      </c>
      <c r="D31" s="6"/>
      <c r="E31" s="6"/>
      <c r="F31" s="6" t="inlineStr">
        <is>
          <t xml:space="preserve">담당</t>
        </is>
      </c>
      <c r="G31" s="6" t="inlineStr">
        <is>
          <t xml:space="preserve">기간</t>
        </is>
      </c>
      <c r="H31" s="6"/>
      <c r="I31" s="6" t="inlineStr">
        <is>
          <t xml:space="preserve">결과물</t>
        </is>
      </c>
    </row>
    <row r="32" ht="40" customHeight="1">
      <c r="B32" s="4" t="inlineStr">
        <is>
          <t xml:space="preserve">1-1</t>
        </is>
      </c>
      <c r="C32" s="5" t="inlineStr">
        <is>
          <t xml:space="preserve">이동 기록 기능 (도착 시간, 두 모터 위치 차이, 반복 횟수)</t>
        </is>
      </c>
      <c r="D32" s="5"/>
      <c r="E32" s="5"/>
      <c r="F32" s="5" t="inlineStr">
        <is>
          <t xml:space="preserve">HW팀</t>
        </is>
      </c>
      <c r="G32" s="7" t="inlineStr">
        <is>
          <t xml:space="preserve">2027.01~02</t>
        </is>
      </c>
      <c r="H32" s="7"/>
      <c r="I32" s="5" t="inlineStr">
        <is>
          <t xml:space="preserve">기록 펌웨어</t>
        </is>
      </c>
    </row>
    <row r="33" ht="40" customHeight="1">
      <c r="B33" s="4" t="inlineStr">
        <is>
          <t xml:space="preserve">1-2</t>
        </is>
      </c>
      <c r="C33" s="5" t="inlineStr">
        <is>
          <t xml:space="preserve">FRAM 저장 구조, 평소 값 비교 규칙</t>
        </is>
      </c>
      <c r="D33" s="5"/>
      <c r="E33" s="5"/>
      <c r="F33" s="5" t="inlineStr">
        <is>
          <t xml:space="preserve">HW팀</t>
        </is>
      </c>
      <c r="G33" s="7" t="inlineStr">
        <is>
          <t xml:space="preserve">2027.02~03</t>
        </is>
      </c>
      <c r="H33" s="7"/>
      <c r="I33" s="5" t="inlineStr">
        <is>
          <t xml:space="preserve">판단 기능</t>
        </is>
      </c>
    </row>
    <row r="34" ht="40" customHeight="1">
      <c r="B34" s="4" t="inlineStr">
        <is>
          <t xml:space="preserve">1-3</t>
        </is>
      </c>
      <c r="C34" s="5" t="inlineStr">
        <is>
          <t xml:space="preserve">메인 보드 상태 확인 (전압, 온도, 리셋, 통신 오류)</t>
        </is>
      </c>
      <c r="D34" s="5"/>
      <c r="E34" s="5"/>
      <c r="F34" s="5" t="inlineStr">
        <is>
          <t xml:space="preserve">HW팀</t>
        </is>
      </c>
      <c r="G34" s="7" t="inlineStr">
        <is>
          <t xml:space="preserve">2027.03~04</t>
        </is>
      </c>
      <c r="H34" s="7"/>
      <c r="I34" s="5" t="inlineStr">
        <is>
          <t xml:space="preserve">상태 기록</t>
        </is>
      </c>
    </row>
    <row r="35" ht="40" customHeight="1">
      <c r="B35" s="4" t="inlineStr">
        <is>
          <t xml:space="preserve">1-4</t>
        </is>
      </c>
      <c r="C35" s="5" t="inlineStr">
        <is>
          <t xml:space="preserve">현장 PC 알림 메시지 연동 (사내 메신저)</t>
        </is>
      </c>
      <c r="D35" s="5"/>
      <c r="E35" s="5"/>
      <c r="F35" s="5" t="inlineStr">
        <is>
          <t xml:space="preserve">SW팀</t>
        </is>
      </c>
      <c r="G35" s="7" t="inlineStr">
        <is>
          <t xml:space="preserve">2027.03~04</t>
        </is>
      </c>
      <c r="H35" s="7"/>
      <c r="I35" s="5" t="inlineStr">
        <is>
          <t xml:space="preserve">알림 시범</t>
        </is>
      </c>
    </row>
    <row r="36" ht="40" customHeight="1">
      <c r="B36" s="4" t="inlineStr">
        <is>
          <t xml:space="preserve">1-5</t>
        </is>
      </c>
      <c r="C36" s="5" t="inlineStr">
        <is>
          <t xml:space="preserve">시험 장비 200회 기록, 고장 재현 시험</t>
        </is>
      </c>
      <c r="D36" s="5"/>
      <c r="E36" s="5"/>
      <c r="F36" s="5" t="inlineStr">
        <is>
          <t xml:space="preserve">HW팀</t>
        </is>
      </c>
      <c r="G36" s="7" t="inlineStr">
        <is>
          <t xml:space="preserve">2027.05~06</t>
        </is>
      </c>
      <c r="H36" s="7"/>
      <c r="I36" s="5" t="inlineStr">
        <is>
          <t xml:space="preserve">시험 보고서</t>
        </is>
      </c>
    </row>
    <row r="37" ht="40" customHeight="1">
      <c r="B37" s="4" t="inlineStr">
        <is>
          <t xml:space="preserve">결정</t>
        </is>
      </c>
      <c r="C37" s="5" t="inlineStr">
        <is>
          <t xml:space="preserve">기록만으로 안 잡히는 고장이 있으면 2단계 진행</t>
        </is>
      </c>
      <c r="D37" s="5"/>
      <c r="E37" s="5"/>
      <c r="F37" s="5" t="inlineStr">
        <is>
          <t xml:space="preserve">HW팀</t>
        </is>
      </c>
      <c r="G37" s="7" t="inlineStr">
        <is>
          <t xml:space="preserve">2027.06</t>
        </is>
      </c>
      <c r="H37" s="7"/>
      <c r="I37" s="5" t="inlineStr">
        <is>
          <t xml:space="preserve">진행 여부</t>
        </is>
      </c>
    </row>
    <row r="38" ht="26" customHeight="1">
      <c r="B38" s="4" t="inlineStr">
        <is>
          <t xml:space="preserve">2-1</t>
        </is>
      </c>
      <c r="C38" s="5" t="inlineStr">
        <is>
          <t xml:space="preserve">진동 측정 보드 회로, PCB 제작</t>
        </is>
      </c>
      <c r="D38" s="5"/>
      <c r="E38" s="5"/>
      <c r="F38" s="5" t="inlineStr">
        <is>
          <t xml:space="preserve">HW팀</t>
        </is>
      </c>
      <c r="G38" s="7" t="inlineStr">
        <is>
          <t xml:space="preserve">2027.07~08</t>
        </is>
      </c>
      <c r="H38" s="7"/>
      <c r="I38" s="5" t="inlineStr">
        <is>
          <t xml:space="preserve">시제품 10장</t>
        </is>
      </c>
    </row>
    <row r="39" ht="40" customHeight="1">
      <c r="B39" s="4" t="inlineStr">
        <is>
          <t xml:space="preserve">2-2</t>
        </is>
      </c>
      <c r="C39" s="5" t="inlineStr">
        <is>
          <t xml:space="preserve">진동 측정 보드 펌웨어 (충격, 기울기, 흔들림 계산)</t>
        </is>
      </c>
      <c r="D39" s="5"/>
      <c r="E39" s="5"/>
      <c r="F39" s="5" t="inlineStr">
        <is>
          <t xml:space="preserve">HW팀</t>
        </is>
      </c>
      <c r="G39" s="7" t="inlineStr">
        <is>
          <t xml:space="preserve">2027.07~09</t>
        </is>
      </c>
      <c r="H39" s="7"/>
      <c r="I39" s="5" t="inlineStr">
        <is>
          <t xml:space="preserve">보드 펌웨어</t>
        </is>
      </c>
    </row>
    <row r="40" ht="26" customHeight="1">
      <c r="B40" s="4" t="inlineStr">
        <is>
          <t xml:space="preserve">2-3</t>
        </is>
      </c>
      <c r="C40" s="5" t="inlineStr">
        <is>
          <t xml:space="preserve">알림 화면 개선 (봇 또는 앱)</t>
        </is>
      </c>
      <c r="D40" s="5"/>
      <c r="E40" s="5"/>
      <c r="F40" s="5" t="inlineStr">
        <is>
          <t xml:space="preserve">SW팀</t>
        </is>
      </c>
      <c r="G40" s="7" t="inlineStr">
        <is>
          <t xml:space="preserve">2027.09~10</t>
        </is>
      </c>
      <c r="H40" s="7"/>
      <c r="I40" s="5" t="inlineStr">
        <is>
          <t xml:space="preserve">알림 화면</t>
        </is>
      </c>
    </row>
    <row r="41" ht="26" customHeight="1">
      <c r="B41" s="4" t="inlineStr">
        <is>
          <t xml:space="preserve">2-4</t>
        </is>
      </c>
      <c r="C41" s="5" t="inlineStr">
        <is>
          <t xml:space="preserve">시험 장비 부착, 고장 재현 시험</t>
        </is>
      </c>
      <c r="D41" s="5"/>
      <c r="E41" s="5"/>
      <c r="F41" s="5" t="inlineStr">
        <is>
          <t xml:space="preserve">HW팀</t>
        </is>
      </c>
      <c r="G41" s="7" t="inlineStr">
        <is>
          <t xml:space="preserve">2027.10</t>
        </is>
      </c>
      <c r="H41" s="7"/>
      <c r="I41" s="5" t="inlineStr">
        <is>
          <t xml:space="preserve">시험 보고서</t>
        </is>
      </c>
    </row>
    <row r="42" ht="40" customHeight="1">
      <c r="B42" s="4" t="inlineStr">
        <is>
          <t xml:space="preserve">2-5</t>
        </is>
      </c>
      <c r="C42" s="5" t="inlineStr">
        <is>
          <t xml:space="preserve">현장 1대 시범 적용, 기준값 조정</t>
        </is>
      </c>
      <c r="D42" s="5"/>
      <c r="E42" s="5"/>
      <c r="F42" s="5" t="inlineStr">
        <is>
          <t xml:space="preserve">HW팀, SW팀</t>
        </is>
      </c>
      <c r="G42" s="7" t="inlineStr">
        <is>
          <t xml:space="preserve">2027.11~12</t>
        </is>
      </c>
      <c r="H42" s="7"/>
      <c r="I42" s="5" t="inlineStr">
        <is>
          <t xml:space="preserve">시범 결과</t>
        </is>
      </c>
    </row>
    <row r="43" ht="12" customHeight="1"/>
    <row r="44" ht="25" customHeight="1">
      <c r="B44" s="3" t="inlineStr">
        <is>
          <t xml:space="preserve">4. 고장별 확인 방법</t>
        </is>
      </c>
      <c r="C44" s="3"/>
      <c r="D44" s="3"/>
      <c r="E44" s="3"/>
      <c r="F44" s="3"/>
      <c r="G44" s="3"/>
      <c r="H44" s="3"/>
      <c r="I44" s="3"/>
    </row>
    <row r="45" ht="26" customHeight="1">
      <c r="B45" s="6" t="inlineStr">
        <is>
          <t xml:space="preserve">고장</t>
        </is>
      </c>
      <c r="C45" s="6" t="inlineStr">
        <is>
          <t xml:space="preserve">확인 방법</t>
        </is>
      </c>
      <c r="D45" s="6"/>
      <c r="E45" s="6"/>
      <c r="F45" s="6" t="inlineStr">
        <is>
          <t xml:space="preserve">확인 시점</t>
        </is>
      </c>
      <c r="G45" s="6"/>
      <c r="H45" s="6" t="inlineStr">
        <is>
          <t xml:space="preserve">신뢰도</t>
        </is>
      </c>
      <c r="I45" s="6"/>
    </row>
    <row r="46" ht="26" customHeight="1">
      <c r="B46" s="4" t="inlineStr">
        <is>
          <t xml:space="preserve">물건 끼임</t>
        </is>
      </c>
      <c r="C46" s="5" t="inlineStr">
        <is>
          <t xml:space="preserve">도착 실패, 축잠금 알람</t>
        </is>
      </c>
      <c r="D46" s="5"/>
      <c r="E46" s="5"/>
      <c r="F46" s="5" t="inlineStr">
        <is>
          <t xml:space="preserve">발생 즉시</t>
        </is>
      </c>
      <c r="G46" s="5"/>
      <c r="H46" s="7" t="inlineStr">
        <is>
          <t xml:space="preserve">높음</t>
        </is>
      </c>
      <c r="I46" s="7"/>
    </row>
    <row r="47" ht="26" customHeight="1">
      <c r="B47" s="4" t="inlineStr">
        <is>
          <t xml:space="preserve">원인 구분</t>
        </is>
      </c>
      <c r="C47" s="5" t="inlineStr">
        <is>
          <t xml:space="preserve">설정값, 펌웨어 버전, 오류 기록</t>
        </is>
      </c>
      <c r="D47" s="5"/>
      <c r="E47" s="5"/>
      <c r="F47" s="5" t="inlineStr">
        <is>
          <t xml:space="preserve">고장 직후</t>
        </is>
      </c>
      <c r="G47" s="5"/>
      <c r="H47" s="7" t="inlineStr">
        <is>
          <t xml:space="preserve">높음</t>
        </is>
      </c>
      <c r="I47" s="7"/>
    </row>
    <row r="48" ht="26" customHeight="1">
      <c r="B48" s="4" t="inlineStr">
        <is>
          <t xml:space="preserve">마찰 증가</t>
        </is>
      </c>
      <c r="C48" s="5" t="inlineStr">
        <is>
          <t xml:space="preserve">도착 시간, 두 모터 위치 차이</t>
        </is>
      </c>
      <c r="D48" s="5"/>
      <c r="E48" s="5"/>
      <c r="F48" s="5" t="inlineStr">
        <is>
          <t xml:space="preserve">점점 나빠질 때</t>
        </is>
      </c>
      <c r="G48" s="5"/>
      <c r="H48" s="7" t="inlineStr">
        <is>
          <t xml:space="preserve">높음</t>
        </is>
      </c>
      <c r="I48" s="7"/>
    </row>
    <row r="49" ht="26" customHeight="1">
      <c r="B49" s="4" t="inlineStr">
        <is>
          <t xml:space="preserve">바퀴 풀림</t>
        </is>
      </c>
      <c r="C49" s="5" t="inlineStr">
        <is>
          <t xml:space="preserve">진동 측정 보드 (충격, 기울기)</t>
        </is>
      </c>
      <c r="D49" s="5"/>
      <c r="E49" s="5"/>
      <c r="F49" s="5" t="inlineStr">
        <is>
          <t xml:space="preserve">며칠~몇 주 전</t>
        </is>
      </c>
      <c r="G49" s="5"/>
      <c r="H49" s="7" t="inlineStr">
        <is>
          <t xml:space="preserve">높음</t>
        </is>
      </c>
      <c r="I49" s="7"/>
    </row>
    <row r="50" ht="40" customHeight="1">
      <c r="B50" s="4" t="inlineStr">
        <is>
          <t xml:space="preserve">케이블 베어 이탈</t>
        </is>
      </c>
      <c r="C50" s="5" t="inlineStr">
        <is>
          <t xml:space="preserve">같은 위치 통신 오류, 충격</t>
        </is>
      </c>
      <c r="D50" s="5"/>
      <c r="E50" s="5"/>
      <c r="F50" s="5" t="inlineStr">
        <is>
          <t xml:space="preserve">일부 사전 확인</t>
        </is>
      </c>
      <c r="G50" s="5"/>
      <c r="H50" s="7" t="inlineStr">
        <is>
          <t xml:space="preserve">보통</t>
        </is>
      </c>
      <c r="I50" s="7"/>
    </row>
    <row r="51" ht="40" customHeight="1">
      <c r="B51" s="4" t="inlineStr">
        <is>
          <t xml:space="preserve">벨트 장력 저하</t>
        </is>
      </c>
      <c r="C51" s="5" t="inlineStr">
        <is>
          <t xml:space="preserve">정지 후 흔들림 시간</t>
        </is>
      </c>
      <c r="D51" s="5"/>
      <c r="E51" s="5"/>
      <c r="F51" s="5" t="inlineStr">
        <is>
          <t xml:space="preserve">중간 단계</t>
        </is>
      </c>
      <c r="G51" s="5"/>
      <c r="H51" s="7" t="inlineStr">
        <is>
          <t xml:space="preserve">시험 필요</t>
        </is>
      </c>
      <c r="I51" s="7"/>
    </row>
    <row r="52" ht="40" customHeight="1">
      <c r="B52" s="4" t="inlineStr">
        <is>
          <t xml:space="preserve">메인 보드 전원</t>
        </is>
      </c>
      <c r="C52" s="5" t="inlineStr">
        <is>
          <t xml:space="preserve">전압 저하, 리셋 기록</t>
        </is>
      </c>
      <c r="D52" s="5"/>
      <c r="E52" s="5"/>
      <c r="F52" s="5" t="inlineStr">
        <is>
          <t xml:space="preserve">몇 주 전</t>
        </is>
      </c>
      <c r="G52" s="5"/>
      <c r="H52" s="7" t="inlineStr">
        <is>
          <t xml:space="preserve">보통</t>
        </is>
      </c>
      <c r="I52" s="7"/>
    </row>
    <row r="53" ht="12" customHeight="1"/>
    <row r="54" ht="25" customHeight="1">
      <c r="B54" s="3" t="inlineStr">
        <is>
          <t xml:space="preserve">5. AI 없이 하는 방식의 장단점</t>
        </is>
      </c>
      <c r="C54" s="3"/>
      <c r="D54" s="3"/>
      <c r="E54" s="3"/>
      <c r="F54" s="3"/>
      <c r="G54" s="3"/>
      <c r="H54" s="3"/>
      <c r="I54" s="3"/>
    </row>
    <row r="55" ht="26" customHeight="1">
      <c r="B55" s="6" t="inlineStr">
        <is>
          <t xml:space="preserve">구분</t>
        </is>
      </c>
      <c r="C55" s="6" t="inlineStr">
        <is>
          <t xml:space="preserve">내용</t>
        </is>
      </c>
      <c r="D55" s="6"/>
      <c r="E55" s="6"/>
      <c r="F55" s="6"/>
      <c r="G55" s="6"/>
      <c r="H55" s="6"/>
      <c r="I55" s="6"/>
    </row>
    <row r="56" ht="55" customHeight="1">
      <c r="B56" s="4" t="inlineStr">
        <is>
          <t xml:space="preserve">장점</t>
        </is>
      </c>
      <c r="C56" s="5" t="inlineStr">
        <is>
          <t xml:space="preserve">고장 이력 데이터가 없어도 바로 시작할 수 있음. 어떤 값이 평소보다 몇 % 변했는지 그대로 보여 주므로 원인 설명이 쉬움. 메인 보드 안에서 계산되어 서버나 클라우드가 필요 없음. 현장마다 최근 7일 값을 기준으로 삼아 따로 맞출 필요가 적음.</t>
        </is>
      </c>
      <c r="D56" s="5"/>
      <c r="E56" s="5"/>
      <c r="F56" s="5"/>
      <c r="G56" s="5"/>
      <c r="H56" s="5"/>
      <c r="I56" s="5"/>
    </row>
    <row r="57" ht="55" customHeight="1">
      <c r="B57" s="4" t="inlineStr">
        <is>
          <t xml:space="preserve">단점</t>
        </is>
      </c>
      <c r="C57" s="5" t="inlineStr">
        <is>
          <t xml:space="preserve">미리 정하지 않은 새로운 유형의 고장은 놓칠 수 있음. 기준값이 맞지 않으면 오경보가 생겨 초기 조정이 필요함. 여러 신호가 조금씩 같이 변하는 경우는 잡기 어렵고, 남은 수명 예측은 하지 못함.</t>
        </is>
      </c>
      <c r="D57" s="5"/>
      <c r="E57" s="5"/>
      <c r="F57" s="5"/>
      <c r="G57" s="5"/>
      <c r="H57" s="5"/>
      <c r="I57" s="5"/>
    </row>
    <row r="58" ht="40" customHeight="1">
      <c r="B58" s="4" t="inlineStr">
        <is>
          <t xml:space="preserve">보완</t>
        </is>
      </c>
      <c r="C58" s="5" t="inlineStr">
        <is>
          <t xml:space="preserve">기록 형식을 처음부터 일정하게 남겨 두어, 데이터가 쌓이면 나중에 AI 분석을 추가할 수 있게 함.</t>
        </is>
      </c>
      <c r="D58" s="5"/>
      <c r="E58" s="5"/>
      <c r="F58" s="5"/>
      <c r="G58" s="5"/>
      <c r="H58" s="5"/>
      <c r="I58" s="5"/>
    </row>
    <row r="59" ht="12" customHeight="1"/>
    <row r="60" ht="25" customHeight="1">
      <c r="B60" s="3" t="inlineStr">
        <is>
          <t xml:space="preserve">6. 다른 기업 비교</t>
        </is>
      </c>
      <c r="C60" s="3"/>
      <c r="D60" s="3"/>
      <c r="E60" s="3"/>
      <c r="F60" s="3"/>
      <c r="G60" s="3"/>
      <c r="H60" s="3"/>
      <c r="I60" s="3"/>
    </row>
    <row r="61" ht="26" customHeight="1">
      <c r="B61" s="6" t="inlineStr">
        <is>
          <t xml:space="preserve">기업</t>
        </is>
      </c>
      <c r="C61" s="6" t="inlineStr">
        <is>
          <t xml:space="preserve">방식</t>
        </is>
      </c>
      <c r="D61" s="6"/>
      <c r="E61" s="6" t="inlineStr">
        <is>
          <t xml:space="preserve">장점</t>
        </is>
      </c>
      <c r="F61" s="6"/>
      <c r="G61" s="6" t="inlineStr">
        <is>
          <t xml:space="preserve">단점 (본 제안과 차이)</t>
        </is>
      </c>
      <c r="H61" s="6"/>
      <c r="I61" s="6"/>
    </row>
    <row r="62" ht="55" customHeight="1">
      <c r="B62" s="4" t="inlineStr">
        <is>
          <t xml:space="preserve">FANUC ZDT</t>
        </is>
      </c>
      <c r="C62" s="5" t="inlineStr">
        <is>
          <t xml:space="preserve">모터 토크를 분석하여 감속기 상태가 기준을 넘으면 메일 알림</t>
        </is>
      </c>
      <c r="D62" s="5"/>
      <c r="E62" s="5" t="inlineStr">
        <is>
          <t xml:space="preserve">고장 수 주 전 감지 실적 (제조사 발표)</t>
        </is>
      </c>
      <c r="F62" s="5"/>
      <c r="G62" s="5" t="inlineStr">
        <is>
          <t xml:space="preserve">클라우드 연결과 서비스 계약 필요, 자사 로봇 전용</t>
        </is>
      </c>
      <c r="H62" s="5"/>
      <c r="I62" s="5"/>
    </row>
    <row r="63" ht="70" customHeight="1">
      <c r="B63" s="4" t="inlineStr">
        <is>
          <t xml:space="preserve">ABB Connected Services</t>
        </is>
      </c>
      <c r="C63" s="5" t="inlineStr">
        <is>
          <t xml:space="preserve">로봇 측정값 추세 분석, 중요 알람 즉시 통보</t>
        </is>
      </c>
      <c r="D63" s="5"/>
      <c r="E63" s="5" t="inlineStr">
        <is>
          <t xml:space="preserve">24시간 원격 감시, 정비 사전 준비</t>
        </is>
      </c>
      <c r="F63" s="5"/>
      <c r="G63" s="5" t="inlineStr">
        <is>
          <t xml:space="preserve">클라우드 연결과 서비스 계약 필요</t>
        </is>
      </c>
      <c r="H63" s="5"/>
      <c r="I63" s="5"/>
    </row>
    <row r="64" ht="55" customHeight="1">
      <c r="B64" s="4" t="inlineStr">
        <is>
          <t xml:space="preserve">ifm, Schaeffler</t>
        </is>
      </c>
      <c r="C64" s="5" t="inlineStr">
        <is>
          <t xml:space="preserve">스태커 크레인에 진동 센서를 따로 부착하여 감시</t>
        </is>
      </c>
      <c r="D64" s="5"/>
      <c r="E64" s="5" t="inlineStr">
        <is>
          <t xml:space="preserve">검증된 센서, 베어링 상태 감시</t>
        </is>
      </c>
      <c r="F64" s="5"/>
      <c r="G64" s="5" t="inlineStr">
        <is>
          <t xml:space="preserve">별도 장비와 배선 필요, 로봇 명령과 연결되지 않음</t>
        </is>
      </c>
      <c r="H64" s="5"/>
      <c r="I64" s="5"/>
    </row>
    <row r="65" ht="55" customHeight="1">
      <c r="B65" s="4" t="inlineStr">
        <is>
          <t xml:space="preserve">본 제안</t>
        </is>
      </c>
      <c r="C65" s="5" t="inlineStr">
        <is>
          <t xml:space="preserve">로더 펌웨어 기록 + 필요 시 진동 측정 보드</t>
        </is>
      </c>
      <c r="D65" s="5"/>
      <c r="E65" s="5" t="inlineStr">
        <is>
          <t xml:space="preserve">추가 비용이 매우 적음, 명령과 결과를 같이 저장해 원인 구분</t>
        </is>
      </c>
      <c r="F65" s="5"/>
      <c r="G65" s="5" t="inlineStr">
        <is>
          <t xml:space="preserve">대시보드, 원격 서비스 체계가 아직 없음, 효과는 시험으로 확인 필요</t>
        </is>
      </c>
      <c r="H65" s="5"/>
      <c r="I65" s="5"/>
    </row>
    <row r="66" ht="40" customHeight="1">
      <c r="B66" s="10" t="inlineStr">
        <is>
          <t xml:space="preserve">※ 대형 로봇 회사도 모터 토크, 진동 같은 값을 기준과 비교하는 방식으로 고장을 미리 알리고 있음. 본 제안은 같은 원리를 자사 로더에 맞게 낮은 비용으로 적용하는 것임.</t>
        </is>
      </c>
      <c r="C66" s="10"/>
      <c r="D66" s="10"/>
      <c r="E66" s="10"/>
      <c r="F66" s="10"/>
      <c r="G66" s="10"/>
      <c r="H66" s="10"/>
      <c r="I66" s="10"/>
    </row>
    <row r="67" ht="12" customHeight="1"/>
    <row r="68" ht="25" customHeight="1">
      <c r="B68" s="3" t="inlineStr">
        <is>
          <t xml:space="preserve">7. 현실성 판단</t>
        </is>
      </c>
      <c r="C68" s="3"/>
      <c r="D68" s="3"/>
      <c r="E68" s="3"/>
      <c r="F68" s="3"/>
      <c r="G68" s="3"/>
      <c r="H68" s="3"/>
      <c r="I68" s="3"/>
    </row>
    <row r="69" ht="40" customHeight="1">
      <c r="B69" s="4" t="inlineStr">
        <is>
          <t xml:space="preserve">판단</t>
        </is>
      </c>
      <c r="C69" s="5" t="inlineStr">
        <is>
          <t xml:space="preserve">현실성 높음. 1단계는 추가 부품 없이 현재 업무(기존 제품 펌웨어 개선) 안에서 진행할 수 있음.</t>
        </is>
      </c>
      <c r="D69" s="5"/>
      <c r="E69" s="5"/>
      <c r="F69" s="5"/>
      <c r="G69" s="5"/>
      <c r="H69" s="5"/>
      <c r="I69" s="5"/>
    </row>
    <row r="70" ht="40" customHeight="1">
      <c r="B70" s="4" t="inlineStr">
        <is>
          <t xml:space="preserve">근거</t>
        </is>
      </c>
      <c r="C70" s="5" t="inlineStr">
        <is>
          <t xml:space="preserve">이미 읽고 있는 데이터를 활용하므로 하드웨어 변경이 없음. 같은 원리의 방식이 산업용 로봇과 자동창고 설비에서 쓰이고 있음.</t>
        </is>
      </c>
      <c r="D70" s="5"/>
      <c r="E70" s="5"/>
      <c r="F70" s="5"/>
      <c r="G70" s="5"/>
      <c r="H70" s="5"/>
      <c r="I70" s="5"/>
    </row>
    <row r="71" ht="40" customHeight="1">
      <c r="B71" s="4" t="inlineStr">
        <is>
          <t xml:space="preserve">주의할 점</t>
        </is>
      </c>
      <c r="C71" s="5" t="inlineStr">
        <is>
          <t xml:space="preserve">오경보를 줄이기 위한 기준값 조정 기간(약 2주)이 필요함. 벨트 쏠림 초기는 감지가 어렵고, 진동 측정 보드는 커넥터가 하나 늘어나므로 고정 방법을 검토해야 함.</t>
        </is>
      </c>
      <c r="D71" s="5"/>
      <c r="E71" s="5"/>
      <c r="F71" s="5"/>
      <c r="G71" s="5"/>
      <c r="H71" s="5"/>
      <c r="I71" s="5"/>
    </row>
    <row r="72" ht="12" customHeight="1"/>
    <row r="73" ht="25" customHeight="1">
      <c r="B73" s="3" t="inlineStr">
        <is>
          <t xml:space="preserve">8. 참고 자료</t>
        </is>
      </c>
      <c r="C73" s="3"/>
      <c r="D73" s="3"/>
      <c r="E73" s="3"/>
      <c r="F73" s="3"/>
      <c r="G73" s="3"/>
      <c r="H73" s="3"/>
      <c r="I73" s="3"/>
    </row>
    <row r="74" ht="30" customHeight="1">
      <c r="B74" s="4" t="inlineStr">
        <is>
          <t xml:space="preserve">시연 화면</t>
        </is>
      </c>
      <c r="C74" s="11" t="str">
        <f>HYPERLINK("https://claude.ai/artifact/SWQzcwXL1nVw9D7KqGxso7#sim","3D 로더 진단 시뮬레이터")</f>
        <v>3D 로더 진단 시뮬레이터</v>
      </c>
      <c r="D74" s="11"/>
      <c r="E74" s="11"/>
      <c r="F74" s="11"/>
      <c r="G74" s="11"/>
      <c r="H74" s="11"/>
      <c r="I74" s="11"/>
    </row>
    <row r="75" ht="30" customHeight="1">
      <c r="B75" s="4" t="inlineStr">
        <is>
          <t xml:space="preserve">첨부 문서</t>
        </is>
      </c>
      <c r="C75" s="5" t="inlineStr">
        <is>
          <t xml:space="preserve">3D로더_고장예방_보고서_v2_박성원.pdf</t>
        </is>
      </c>
      <c r="D75" s="5"/>
      <c r="E75" s="5"/>
      <c r="F75" s="5"/>
      <c r="G75" s="5"/>
      <c r="H75" s="5"/>
      <c r="I75" s="5"/>
    </row>
    <row r="76" ht="55" customHeight="1">
      <c r="B76" s="4" t="inlineStr">
        <is>
          <t xml:space="preserve">조사 출처</t>
        </is>
      </c>
      <c r="C76" s="5" t="inlineStr">
        <is>
          <t xml:space="preserve">FANUC ZDT 카탈로그, ABB Connected Services 소개, ifm 및 Schaeffler 스태커 크레인 진동 감시 사례, 사내 threeD_roder 작업 기록 (2026-10-26 확인)</t>
        </is>
      </c>
      <c r="D76" s="5"/>
      <c r="E76" s="5"/>
      <c r="F76" s="5"/>
      <c r="G76" s="5"/>
      <c r="H76" s="5"/>
      <c r="I76" s="5"/>
    </row>
    <row r="77" ht="25" customHeight="1">
      <c r="B77" s="10" t="inlineStr">
        <is>
          <t xml:space="preserve">※ 비용과 기간은 추정값이며 견적과 시험 결과에 따라 달라질 수 있음.</t>
        </is>
      </c>
      <c r="C77" s="10"/>
      <c r="D77" s="10"/>
      <c r="E77" s="10"/>
      <c r="F77" s="10"/>
      <c r="G77" s="10"/>
      <c r="H77" s="10"/>
      <c r="I77" s="10"/>
    </row>
  </sheetData>
  <mergeCells count="108">
    <mergeCell ref="B2:I2"/>
    <mergeCell ref="B3:I3"/>
    <mergeCell ref="C5:E5"/>
    <mergeCell ref="C6:E6"/>
    <mergeCell ref="G6:I6"/>
    <mergeCell ref="B8:I8"/>
    <mergeCell ref="B9:C9"/>
    <mergeCell ref="D9:E9"/>
    <mergeCell ref="F9:G9"/>
    <mergeCell ref="H9:I9"/>
    <mergeCell ref="B10:C10"/>
    <mergeCell ref="D10:E10"/>
    <mergeCell ref="F10:G10"/>
    <mergeCell ref="H10:I10"/>
    <mergeCell ref="B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B24:I24"/>
    <mergeCell ref="C26:D26"/>
    <mergeCell ref="F28:G28"/>
    <mergeCell ref="C31:E31"/>
    <mergeCell ref="G31:H31"/>
    <mergeCell ref="C32:E32"/>
    <mergeCell ref="G32:H32"/>
    <mergeCell ref="C33:E33"/>
    <mergeCell ref="G33:H33"/>
    <mergeCell ref="C34:E34"/>
    <mergeCell ref="G34:H34"/>
    <mergeCell ref="C35:E35"/>
    <mergeCell ref="G35:H35"/>
    <mergeCell ref="C36:E36"/>
    <mergeCell ref="G36:H36"/>
    <mergeCell ref="C37:E37"/>
    <mergeCell ref="G37:H37"/>
    <mergeCell ref="C38:E38"/>
    <mergeCell ref="G38:H38"/>
    <mergeCell ref="C39:E39"/>
    <mergeCell ref="G39:H39"/>
    <mergeCell ref="C40:E40"/>
    <mergeCell ref="G40:H40"/>
    <mergeCell ref="C41:E41"/>
    <mergeCell ref="G41:H41"/>
    <mergeCell ref="C42:E42"/>
    <mergeCell ref="G42:H42"/>
    <mergeCell ref="B44:I44"/>
    <mergeCell ref="C45:E45"/>
    <mergeCell ref="F45:G45"/>
    <mergeCell ref="H45:I45"/>
    <mergeCell ref="C46:E46"/>
    <mergeCell ref="F46:G46"/>
    <mergeCell ref="H46:I46"/>
    <mergeCell ref="C47:E47"/>
    <mergeCell ref="F47:G47"/>
    <mergeCell ref="H47:I47"/>
    <mergeCell ref="C48:E48"/>
    <mergeCell ref="F48:G48"/>
    <mergeCell ref="H48:I48"/>
    <mergeCell ref="C49:E49"/>
    <mergeCell ref="F49:G49"/>
    <mergeCell ref="H49:I49"/>
    <mergeCell ref="C50:E50"/>
    <mergeCell ref="F50:G50"/>
    <mergeCell ref="H50:I50"/>
    <mergeCell ref="C51:E51"/>
    <mergeCell ref="F51:G51"/>
    <mergeCell ref="H51:I51"/>
    <mergeCell ref="C52:E52"/>
    <mergeCell ref="F52:G52"/>
    <mergeCell ref="H52:I52"/>
    <mergeCell ref="B54:I54"/>
    <mergeCell ref="C55:I55"/>
    <mergeCell ref="C56:I56"/>
    <mergeCell ref="C57:I57"/>
    <mergeCell ref="C58:I58"/>
    <mergeCell ref="B60:I60"/>
    <mergeCell ref="C61:D61"/>
    <mergeCell ref="E61:F61"/>
    <mergeCell ref="G61:I61"/>
    <mergeCell ref="C62:D62"/>
    <mergeCell ref="E62:F62"/>
    <mergeCell ref="G62:I62"/>
    <mergeCell ref="C63:D63"/>
    <mergeCell ref="E63:F63"/>
    <mergeCell ref="G63:I63"/>
    <mergeCell ref="C64:D64"/>
    <mergeCell ref="E64:F64"/>
    <mergeCell ref="G64:I64"/>
    <mergeCell ref="C65:D65"/>
    <mergeCell ref="E65:F65"/>
    <mergeCell ref="G65:I65"/>
    <mergeCell ref="B66:I66"/>
    <mergeCell ref="B68:I68"/>
    <mergeCell ref="C69:I69"/>
    <mergeCell ref="C70:I70"/>
    <mergeCell ref="C71:I71"/>
    <mergeCell ref="B73:I73"/>
    <mergeCell ref="C74:I74"/>
    <mergeCell ref="C75:I75"/>
    <mergeCell ref="C76:I76"/>
    <mergeCell ref="B77:I77"/>
  </mergeCells>
  <pageMargins left="0.4" right="0.4" top="0.5" bottom="0.5" header="0.3" footer="0.3"/>
  <pageSetup paperSize="9" orientation="portrait" fitToWidth="1" fitToHeight="0"/>
  <headerFooter>
    <oddFooter>&amp;C아이디어 제안서 (1) 3D 로더 고장 예방 시스템 -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zoomScale="90" workbookViewId="0"/>
  </sheetViews>
  <sheetFormatPr defaultRowHeight="17"/>
  <cols>
    <col min="1" max="1" width="2" customWidth="1"/>
    <col min="2" max="2" width="16" customWidth="1"/>
    <col min="3" max="3" width="16" customWidth="1"/>
    <col min="4" max="4" width="16" customWidth="1"/>
    <col min="5" max="5" width="14" customWidth="1"/>
    <col min="6" max="6" width="14" customWidth="1"/>
    <col min="7" max="7" width="14" customWidth="1"/>
    <col min="8" max="8" width="14" customWidth="1"/>
    <col min="9" max="9" width="16" customWidth="1"/>
    <col min="10" max="10" width="2" customWidth="1"/>
  </cols>
  <sheetData>
    <row r="1" ht="10" customHeight="1"/>
    <row r="2" ht="34" customHeight="1">
      <c r="B2" s="1" t="inlineStr">
        <is>
          <t xml:space="preserve">아이디어 제안서 (2)</t>
        </is>
      </c>
      <c r="C2" s="1"/>
      <c r="D2" s="1"/>
      <c r="E2" s="1"/>
      <c r="F2" s="1"/>
      <c r="G2" s="1"/>
      <c r="H2" s="1"/>
      <c r="I2" s="1"/>
    </row>
    <row r="3" ht="25" customHeight="1">
      <c r="B3" s="2" t="inlineStr">
        <is>
          <t xml:space="preserve">로봇소터 투입 자동화</t>
        </is>
      </c>
      <c r="C3" s="2"/>
      <c r="D3" s="2"/>
      <c r="E3" s="2"/>
      <c r="F3" s="2"/>
      <c r="G3" s="2"/>
      <c r="H3" s="2"/>
      <c r="I3" s="2"/>
    </row>
    <row r="4" ht="10" customHeight="1"/>
    <row r="5" ht="40" customHeight="1">
      <c r="B5" s="4" t="inlineStr">
        <is>
          <t xml:space="preserve">아이디어명</t>
        </is>
      </c>
      <c r="C5" s="5" t="inlineStr">
        <is>
          <t xml:space="preserve">로봇소터 투입 자동화</t>
        </is>
      </c>
      <c r="D5" s="5"/>
      <c r="E5" s="5"/>
      <c r="F5" s="4" t="inlineStr">
        <is>
          <t xml:space="preserve">작성자</t>
        </is>
      </c>
      <c r="G5" s="5" t="inlineStr">
        <is>
          <t xml:space="preserve">박성원</t>
        </is>
      </c>
      <c r="H5" s="4" t="inlineStr">
        <is>
          <t xml:space="preserve">작성일</t>
        </is>
      </c>
      <c r="I5" s="5" t="inlineStr">
        <is>
          <t xml:space="preserve">2026-10-26</t>
        </is>
      </c>
    </row>
    <row r="6" ht="30" customHeight="1">
      <c r="B6" s="4" t="inlineStr">
        <is>
          <t xml:space="preserve">부서 / 직무</t>
        </is>
      </c>
      <c r="C6" s="5" t="inlineStr">
        <is>
          <t xml:space="preserve">HW팀 / 펌웨어 개발</t>
        </is>
      </c>
      <c r="D6" s="5"/>
      <c r="E6" s="5"/>
      <c r="F6" s="4" t="inlineStr">
        <is>
          <t xml:space="preserve">구분</t>
        </is>
      </c>
      <c r="G6" s="5" t="inlineStr">
        <is>
          <t xml:space="preserve">신규 아이템</t>
        </is>
      </c>
      <c r="H6" s="5"/>
      <c r="I6" s="5"/>
    </row>
    <row r="7" ht="12" customHeight="1"/>
    <row r="8" ht="25" customHeight="1">
      <c r="B8" s="3" t="inlineStr">
        <is>
          <t xml:space="preserve">1. 핵심 요약</t>
        </is>
      </c>
      <c r="C8" s="3"/>
      <c r="D8" s="3"/>
      <c r="E8" s="3"/>
      <c r="F8" s="3"/>
      <c r="G8" s="3"/>
      <c r="H8" s="3"/>
      <c r="I8" s="3"/>
    </row>
    <row r="9" ht="26" customHeight="1">
      <c r="B9" s="6" t="inlineStr">
        <is>
          <t xml:space="preserve">진행 방식</t>
        </is>
      </c>
      <c r="C9" s="6"/>
      <c r="D9" s="6" t="inlineStr">
        <is>
          <t xml:space="preserve">1단계 장치 판매 시점</t>
        </is>
      </c>
      <c r="E9" s="6"/>
      <c r="F9" s="6" t="inlineStr">
        <is>
          <t xml:space="preserve">로봇 셀 재료비</t>
        </is>
      </c>
      <c r="G9" s="6"/>
      <c r="H9" s="6" t="inlineStr">
        <is>
          <t xml:space="preserve">모터 드라이브</t>
        </is>
      </c>
      <c r="I9" s="6"/>
    </row>
    <row r="10" ht="40" customHeight="1">
      <c r="B10" s="4" t="inlineStr">
        <is>
          <t xml:space="preserve">3단계 (단계별 결정)</t>
        </is>
      </c>
      <c r="C10" s="4"/>
      <c r="D10" s="5" t="inlineStr">
        <is>
          <t xml:space="preserve">약 2년 후</t>
        </is>
      </c>
      <c r="E10" s="5"/>
      <c r="F10" s="5" t="inlineStr">
        <is>
          <t xml:space="preserve">대당 약 2,500~5,200만원</t>
        </is>
      </c>
      <c r="G10" s="5"/>
      <c r="H10" s="5" t="inlineStr">
        <is>
          <t xml:space="preserve">3D 로더와 동일 제품 사용</t>
        </is>
      </c>
      <c r="I10" s="5"/>
    </row>
    <row r="11" ht="12" customHeight="1"/>
    <row r="12" ht="25" customHeight="1">
      <c r="B12" s="3" t="inlineStr">
        <is>
          <t xml:space="preserve">2. 제안 내용</t>
        </is>
      </c>
      <c r="C12" s="3"/>
      <c r="D12" s="3"/>
      <c r="E12" s="3"/>
      <c r="F12" s="3"/>
      <c r="G12" s="3"/>
      <c r="H12" s="3"/>
      <c r="I12" s="3"/>
    </row>
    <row r="13" ht="40" customHeight="1">
      <c r="B13" s="4" t="inlineStr">
        <is>
          <t xml:space="preserve">제안 배경</t>
        </is>
      </c>
      <c r="C13" s="5" t="inlineStr">
        <is>
          <t xml:space="preserve">소터 투입을 사람이 직접 하고 있어 24시간 운영 시 한 자리에 약 4명이 필요함(최저임금 기준 연 1.3억원 이상). 야간 인력 확보도 어려움.</t>
        </is>
      </c>
      <c r="D13" s="5"/>
      <c r="E13" s="5"/>
      <c r="F13" s="5"/>
      <c r="G13" s="5"/>
      <c r="H13" s="5"/>
      <c r="I13" s="5"/>
    </row>
    <row r="14" ht="40" customHeight="1">
      <c r="B14" s="4" t="inlineStr">
        <is>
          <t xml:space="preserve">제안 내용</t>
        </is>
      </c>
      <c r="C14" s="5" t="inlineStr">
        <is>
          <t xml:space="preserve">한 번에 로봇을 만들지 않고 3단계로 진행함. 0단계 투입 작업 데이터 수집, 1단계 투입 보조 장치(바코드 자동 인식, 층별 자동 투입), 2단계 로봇 투입 셀.</t>
        </is>
      </c>
      <c r="D14" s="5"/>
      <c r="E14" s="5"/>
      <c r="F14" s="5"/>
      <c r="G14" s="5"/>
      <c r="H14" s="5"/>
      <c r="I14" s="5"/>
    </row>
    <row r="15" ht="40" customHeight="1">
      <c r="B15" s="4" t="inlineStr">
        <is>
          <t xml:space="preserve">구현 방법</t>
        </is>
      </c>
      <c r="C15" s="5" t="inlineStr">
        <is>
          <t xml:space="preserve">3D 로더 제어 보드와 모터 드라이브를 그대로 사용함. 바코드가 확인된 상품만 소터에 투입하고, 확인되지 않은 상품은 별도 보관함으로 보냄.</t>
        </is>
      </c>
      <c r="D15" s="5"/>
      <c r="E15" s="5"/>
      <c r="F15" s="5"/>
      <c r="G15" s="5"/>
      <c r="H15" s="5"/>
      <c r="I15" s="5"/>
    </row>
    <row r="16" ht="40" customHeight="1">
      <c r="B16" s="4" t="inlineStr">
        <is>
          <t xml:space="preserve">차별성</t>
        </is>
      </c>
      <c r="C16" s="5" t="inlineStr">
        <is>
          <t xml:space="preserve">자사 로봇소터에 맞춰 투입 위치와 높이를 설계할 수 있음. 2단 소터의 층별 투입이 가능함.</t>
        </is>
      </c>
      <c r="D16" s="5"/>
      <c r="E16" s="5"/>
      <c r="F16" s="5"/>
      <c r="G16" s="5"/>
      <c r="H16" s="5"/>
      <c r="I16" s="5"/>
    </row>
    <row r="17" ht="40" customHeight="1">
      <c r="B17" s="4" t="inlineStr">
        <is>
          <t xml:space="preserve">적용 대상</t>
        </is>
      </c>
      <c r="C17" s="5" t="inlineStr">
        <is>
          <t xml:space="preserve">1단계 장치는 신규 소터 옵션 및 기존 현장 추가 설치, 2단계 로봇 셀은 24시간 운영 현장.</t>
        </is>
      </c>
      <c r="D17" s="5"/>
      <c r="E17" s="5"/>
      <c r="F17" s="5"/>
      <c r="G17" s="5"/>
      <c r="H17" s="5"/>
      <c r="I17" s="5"/>
    </row>
    <row r="18" ht="55" customHeight="1">
      <c r="B18" s="4" t="inlineStr">
        <is>
          <t xml:space="preserve">담당 / 비용</t>
        </is>
      </c>
      <c r="C18" s="5" t="inlineStr">
        <is>
          <t xml:space="preserve">0단계 HW팀, 수백만원. 1단계 HW팀(기구, 펌웨어), SW팀(바코드 인식, 관제 연동), 장치 1대당 약 900~2,000만원. 2단계 HW팀, SW팀과 외부 AI 업체 협력(추정).</t>
        </is>
      </c>
      <c r="D18" s="5"/>
      <c r="E18" s="5"/>
      <c r="F18" s="5"/>
      <c r="G18" s="5"/>
      <c r="H18" s="5"/>
      <c r="I18" s="5"/>
    </row>
    <row r="19" ht="40" customHeight="1">
      <c r="B19" s="4" t="inlineStr">
        <is>
          <t xml:space="preserve">진행 조건</t>
        </is>
      </c>
      <c r="C19" s="5" t="inlineStr">
        <is>
          <t xml:space="preserve">0단계 결과 바코드 확인, 층 맞추기 시간이 투입 시간의 30% 이상이면 1단계 진행. 1단계 장치로 투입 속도 30% 이상 향상, 잘못된 투입 0건이 확인되면 2단계 진행.</t>
        </is>
      </c>
      <c r="D19" s="5"/>
      <c r="E19" s="5"/>
      <c r="F19" s="5"/>
      <c r="G19" s="5"/>
      <c r="H19" s="5"/>
      <c r="I19" s="5"/>
    </row>
    <row r="20" ht="30" customHeight="1">
      <c r="B20" s="4" t="inlineStr">
        <is>
          <t xml:space="preserve">기대 효과</t>
        </is>
      </c>
      <c r="C20" s="5" t="inlineStr">
        <is>
          <t xml:space="preserve">투입 인원 감소, 야간 운영 대응, 로봇소터와 투입 장치를 함께 판매.</t>
        </is>
      </c>
      <c r="D20" s="5"/>
      <c r="E20" s="5"/>
      <c r="F20" s="5"/>
      <c r="G20" s="5"/>
      <c r="H20" s="5"/>
      <c r="I20" s="5"/>
    </row>
    <row r="21" ht="40" customHeight="1">
      <c r="B21" s="4" t="inlineStr">
        <is>
          <t xml:space="preserve">위험 요소</t>
        </is>
      </c>
      <c r="C21" s="5" t="inlineStr">
        <is>
          <t xml:space="preserve">회사 내 비전, AI 인력이 없어 2단계는 외부 협력 필요. 갠트리 투입 관련 해외 특허(US12338082) 확인 필요.</t>
        </is>
      </c>
      <c r="D21" s="5"/>
      <c r="E21" s="5"/>
      <c r="F21" s="5"/>
      <c r="G21" s="5"/>
      <c r="H21" s="5"/>
      <c r="I21" s="5"/>
    </row>
    <row r="22" ht="30" customHeight="1">
      <c r="B22" s="4" t="inlineStr">
        <is>
          <t xml:space="preserve">요청 사항</t>
        </is>
      </c>
      <c r="C22" s="5" t="inlineStr">
        <is>
          <t xml:space="preserve">0단계 진행 승인(카메라 2대, 소형 PC), 현장 1곳 3개월 설치 협의.</t>
        </is>
      </c>
      <c r="D22" s="5"/>
      <c r="E22" s="5"/>
      <c r="F22" s="5"/>
      <c r="G22" s="5"/>
      <c r="H22" s="5"/>
      <c r="I22" s="5"/>
    </row>
    <row r="23" ht="12" customHeight="1"/>
    <row r="24" ht="25" customHeight="1">
      <c r="B24" s="3" t="inlineStr">
        <is>
          <t xml:space="preserve">3. 추진 일정</t>
        </is>
      </c>
      <c r="C24" s="3"/>
      <c r="D24" s="3"/>
      <c r="E24" s="3"/>
      <c r="F24" s="3"/>
      <c r="G24" s="3"/>
      <c r="H24" s="3"/>
      <c r="I24" s="3"/>
    </row>
    <row r="25" ht="40" customHeight="1">
      <c r="B25" s="6" t="inlineStr">
        <is>
          <t xml:space="preserve">구분</t>
        </is>
      </c>
      <c r="C25" s="6" t="inlineStr">
        <is>
          <t xml:space="preserve">2027 하반기</t>
        </is>
      </c>
      <c r="D25" s="6" t="inlineStr">
        <is>
          <t xml:space="preserve">2028 상반기</t>
        </is>
      </c>
      <c r="E25" s="6" t="inlineStr">
        <is>
          <t xml:space="preserve">2028 하반기</t>
        </is>
      </c>
      <c r="F25" s="6" t="inlineStr">
        <is>
          <t xml:space="preserve">2029 상반기</t>
        </is>
      </c>
      <c r="G25" s="6" t="inlineStr">
        <is>
          <t xml:space="preserve">2029 하반기</t>
        </is>
      </c>
      <c r="H25" s="6" t="inlineStr">
        <is>
          <t xml:space="preserve">2030 상반기</t>
        </is>
      </c>
      <c r="I25" s="6" t="inlineStr">
        <is>
          <t xml:space="preserve">2030 하반기~2031</t>
        </is>
      </c>
    </row>
    <row r="26" ht="55" customHeight="1">
      <c r="B26" s="4" t="inlineStr">
        <is>
          <t xml:space="preserve">0단계 데이터</t>
        </is>
      </c>
      <c r="C26" s="8" t="inlineStr">
        <is>
          <t xml:space="preserve">승인, 설치, 수집 (6개월)</t>
        </is>
      </c>
      <c r="D26" s="9"/>
      <c r="E26" s="9"/>
      <c r="F26" s="9"/>
      <c r="G26" s="9"/>
      <c r="H26" s="9"/>
      <c r="I26" s="9"/>
    </row>
    <row r="27" ht="40" customHeight="1">
      <c r="B27" s="4" t="inlineStr">
        <is>
          <t xml:space="preserve">1단계 보조 장치</t>
        </is>
      </c>
      <c r="C27" s="9"/>
      <c r="D27" s="8" t="inlineStr">
        <is>
          <t xml:space="preserve">설계 3, 제작 3, 사내 시험 3, 고객 시범 3~6개월</t>
        </is>
      </c>
      <c r="E27" s="8"/>
      <c r="F27" s="8"/>
      <c r="G27" s="9"/>
      <c r="H27" s="9"/>
      <c r="I27" s="9"/>
    </row>
    <row r="28" ht="40" customHeight="1">
      <c r="B28" s="4" t="inlineStr">
        <is>
          <t xml:space="preserve">2단계 로봇 셀</t>
        </is>
      </c>
      <c r="C28" s="9"/>
      <c r="D28" s="9"/>
      <c r="E28" s="9"/>
      <c r="F28" s="9"/>
      <c r="G28" s="8" t="inlineStr">
        <is>
          <t xml:space="preserve">설계, 제작, 인식 개발, 시험, 현장 시범 (21~24개월)</t>
        </is>
      </c>
      <c r="H28" s="8"/>
      <c r="I28" s="8"/>
    </row>
    <row r="29" ht="26" customHeight="1">
      <c r="B29" s="6" t="inlineStr">
        <is>
          <t xml:space="preserve">번호</t>
        </is>
      </c>
      <c r="C29" s="6" t="inlineStr">
        <is>
          <t xml:space="preserve">세부 작업</t>
        </is>
      </c>
      <c r="D29" s="6"/>
      <c r="E29" s="6"/>
      <c r="F29" s="6" t="inlineStr">
        <is>
          <t xml:space="preserve">담당</t>
        </is>
      </c>
      <c r="G29" s="6" t="inlineStr">
        <is>
          <t xml:space="preserve">기간</t>
        </is>
      </c>
      <c r="H29" s="6"/>
      <c r="I29" s="6" t="inlineStr">
        <is>
          <t xml:space="preserve">결과물</t>
        </is>
      </c>
    </row>
    <row r="30" ht="26" customHeight="1">
      <c r="B30" s="4" t="inlineStr">
        <is>
          <t xml:space="preserve">0-1</t>
        </is>
      </c>
      <c r="C30" s="5" t="inlineStr">
        <is>
          <t xml:space="preserve">진행 승인, 시범 현장 선정</t>
        </is>
      </c>
      <c r="D30" s="5"/>
      <c r="E30" s="5"/>
      <c r="F30" s="5" t="inlineStr">
        <is>
          <t xml:space="preserve">HW팀</t>
        </is>
      </c>
      <c r="G30" s="7" t="inlineStr">
        <is>
          <t xml:space="preserve">2027.07</t>
        </is>
      </c>
      <c r="H30" s="7"/>
      <c r="I30" s="5" t="inlineStr">
        <is>
          <t xml:space="preserve">현장 확정</t>
        </is>
      </c>
    </row>
    <row r="31" ht="40" customHeight="1">
      <c r="B31" s="4" t="inlineStr">
        <is>
          <t xml:space="preserve">0-2</t>
        </is>
      </c>
      <c r="C31" s="5" t="inlineStr">
        <is>
          <t xml:space="preserve">투입 자리 카메라 2대, 소형 PC 설치</t>
        </is>
      </c>
      <c r="D31" s="5"/>
      <c r="E31" s="5"/>
      <c r="F31" s="5" t="inlineStr">
        <is>
          <t xml:space="preserve">HW팀</t>
        </is>
      </c>
      <c r="G31" s="7" t="inlineStr">
        <is>
          <t xml:space="preserve">2027.08</t>
        </is>
      </c>
      <c r="H31" s="7"/>
      <c r="I31" s="5" t="inlineStr">
        <is>
          <t xml:space="preserve">설치 완료</t>
        </is>
      </c>
    </row>
    <row r="32" ht="26" customHeight="1">
      <c r="B32" s="4" t="inlineStr">
        <is>
          <t xml:space="preserve">0-3</t>
        </is>
      </c>
      <c r="C32" s="5" t="inlineStr">
        <is>
          <t xml:space="preserve">투입 작업 촬영, 스캔 기록 수집</t>
        </is>
      </c>
      <c r="D32" s="5"/>
      <c r="E32" s="5"/>
      <c r="F32" s="5" t="inlineStr">
        <is>
          <t xml:space="preserve">HW팀</t>
        </is>
      </c>
      <c r="G32" s="7" t="inlineStr">
        <is>
          <t xml:space="preserve">2027.09~11</t>
        </is>
      </c>
      <c r="H32" s="7"/>
      <c r="I32" s="5" t="inlineStr">
        <is>
          <t xml:space="preserve">데이터 3개월</t>
        </is>
      </c>
    </row>
    <row r="33" ht="40" customHeight="1">
      <c r="B33" s="4" t="inlineStr">
        <is>
          <t xml:space="preserve">0-4</t>
        </is>
      </c>
      <c r="C33" s="5" t="inlineStr">
        <is>
          <t xml:space="preserve">투입 시간, 상품 종류, 라벨 위치 분석</t>
        </is>
      </c>
      <c r="D33" s="5"/>
      <c r="E33" s="5"/>
      <c r="F33" s="5" t="inlineStr">
        <is>
          <t xml:space="preserve">SW팀</t>
        </is>
      </c>
      <c r="G33" s="7" t="inlineStr">
        <is>
          <t xml:space="preserve">2027.12</t>
        </is>
      </c>
      <c r="H33" s="7"/>
      <c r="I33" s="5" t="inlineStr">
        <is>
          <t xml:space="preserve">분석 보고서</t>
        </is>
      </c>
    </row>
    <row r="34" ht="40" customHeight="1">
      <c r="B34" s="4" t="inlineStr">
        <is>
          <t xml:space="preserve">결정</t>
        </is>
      </c>
      <c r="C34" s="5" t="inlineStr">
        <is>
          <t xml:space="preserve">바코드 확인, 층 맞추기 시간이 30% 이상이면 1단계 진행</t>
        </is>
      </c>
      <c r="D34" s="5"/>
      <c r="E34" s="5"/>
      <c r="F34" s="5" t="inlineStr">
        <is>
          <t xml:space="preserve">HW팀, SW팀</t>
        </is>
      </c>
      <c r="G34" s="7" t="inlineStr">
        <is>
          <t xml:space="preserve">2027.12</t>
        </is>
      </c>
      <c r="H34" s="7"/>
      <c r="I34" s="5" t="inlineStr">
        <is>
          <t xml:space="preserve">진행 여부</t>
        </is>
      </c>
    </row>
    <row r="35" ht="40" customHeight="1">
      <c r="B35" s="4" t="inlineStr">
        <is>
          <t xml:space="preserve">1-1</t>
        </is>
      </c>
      <c r="C35" s="5" t="inlineStr">
        <is>
          <t xml:space="preserve">장치 구성, 요구 사항 정리</t>
        </is>
      </c>
      <c r="D35" s="5"/>
      <c r="E35" s="5"/>
      <c r="F35" s="5" t="inlineStr">
        <is>
          <t xml:space="preserve">HW팀, SW팀</t>
        </is>
      </c>
      <c r="G35" s="7" t="inlineStr">
        <is>
          <t xml:space="preserve">2028.01~02</t>
        </is>
      </c>
      <c r="H35" s="7"/>
      <c r="I35" s="5" t="inlineStr">
        <is>
          <t xml:space="preserve">설계 사양서</t>
        </is>
      </c>
    </row>
    <row r="36" ht="40" customHeight="1">
      <c r="B36" s="4" t="inlineStr">
        <is>
          <t xml:space="preserve">1-2</t>
        </is>
      </c>
      <c r="C36" s="5" t="inlineStr">
        <is>
          <t xml:space="preserve">기구 설계 (놓기판, 스캔 터널, 리프트)</t>
        </is>
      </c>
      <c r="D36" s="5"/>
      <c r="E36" s="5"/>
      <c r="F36" s="5" t="inlineStr">
        <is>
          <t xml:space="preserve">HW팀</t>
        </is>
      </c>
      <c r="G36" s="7" t="inlineStr">
        <is>
          <t xml:space="preserve">2028.02~04</t>
        </is>
      </c>
      <c r="H36" s="7"/>
      <c r="I36" s="5" t="inlineStr">
        <is>
          <t xml:space="preserve">설계 도면</t>
        </is>
      </c>
    </row>
    <row r="37" ht="40" customHeight="1">
      <c r="B37" s="4" t="inlineStr">
        <is>
          <t xml:space="preserve">1-3</t>
        </is>
      </c>
      <c r="C37" s="5" t="inlineStr">
        <is>
          <t xml:space="preserve">전장, 펌웨어 (리프트 축, 센서, 상품 추적)</t>
        </is>
      </c>
      <c r="D37" s="5"/>
      <c r="E37" s="5"/>
      <c r="F37" s="5" t="inlineStr">
        <is>
          <t xml:space="preserve">HW팀</t>
        </is>
      </c>
      <c r="G37" s="7" t="inlineStr">
        <is>
          <t xml:space="preserve">2028.03~06</t>
        </is>
      </c>
      <c r="H37" s="7"/>
      <c r="I37" s="5" t="inlineStr">
        <is>
          <t xml:space="preserve">제어 펌웨어</t>
        </is>
      </c>
    </row>
    <row r="38" ht="26" customHeight="1">
      <c r="B38" s="4" t="inlineStr">
        <is>
          <t xml:space="preserve">1-4</t>
        </is>
      </c>
      <c r="C38" s="5" t="inlineStr">
        <is>
          <t xml:space="preserve">바코드 인식 프로그램, 소터 관제 연동</t>
        </is>
      </c>
      <c r="D38" s="5"/>
      <c r="E38" s="5"/>
      <c r="F38" s="5" t="inlineStr">
        <is>
          <t xml:space="preserve">SW팀</t>
        </is>
      </c>
      <c r="G38" s="7" t="inlineStr">
        <is>
          <t xml:space="preserve">2028.03~07</t>
        </is>
      </c>
      <c r="H38" s="7"/>
      <c r="I38" s="5" t="inlineStr">
        <is>
          <t xml:space="preserve">인식 프로그램</t>
        </is>
      </c>
    </row>
    <row r="39" ht="26" customHeight="1">
      <c r="B39" s="4" t="inlineStr">
        <is>
          <t xml:space="preserve">1-5</t>
        </is>
      </c>
      <c r="C39" s="5" t="inlineStr">
        <is>
          <t xml:space="preserve">시제품 제작, 조립</t>
        </is>
      </c>
      <c r="D39" s="5"/>
      <c r="E39" s="5"/>
      <c r="F39" s="5" t="inlineStr">
        <is>
          <t xml:space="preserve">HW팀</t>
        </is>
      </c>
      <c r="G39" s="7" t="inlineStr">
        <is>
          <t xml:space="preserve">2028.05~07</t>
        </is>
      </c>
      <c r="H39" s="7"/>
      <c r="I39" s="5" t="inlineStr">
        <is>
          <t xml:space="preserve">시제품 1대</t>
        </is>
      </c>
    </row>
    <row r="40" ht="40" customHeight="1">
      <c r="B40" s="4" t="inlineStr">
        <is>
          <t xml:space="preserve">1-6</t>
        </is>
      </c>
      <c r="C40" s="5" t="inlineStr">
        <is>
          <t xml:space="preserve">통합, 사내 시험 (상품 200종)</t>
        </is>
      </c>
      <c r="D40" s="5"/>
      <c r="E40" s="5"/>
      <c r="F40" s="5" t="inlineStr">
        <is>
          <t xml:space="preserve">HW팀, SW팀</t>
        </is>
      </c>
      <c r="G40" s="7" t="inlineStr">
        <is>
          <t xml:space="preserve">2028.08~10</t>
        </is>
      </c>
      <c r="H40" s="7"/>
      <c r="I40" s="5" t="inlineStr">
        <is>
          <t xml:space="preserve">시험 보고서</t>
        </is>
      </c>
    </row>
    <row r="41" ht="40" customHeight="1">
      <c r="B41" s="4" t="inlineStr">
        <is>
          <t xml:space="preserve">1-7</t>
        </is>
      </c>
      <c r="C41" s="5" t="inlineStr">
        <is>
          <t xml:space="preserve">문제 개선, 2차 시제품</t>
        </is>
      </c>
      <c r="D41" s="5"/>
      <c r="E41" s="5"/>
      <c r="F41" s="5" t="inlineStr">
        <is>
          <t xml:space="preserve">HW팀, SW팀</t>
        </is>
      </c>
      <c r="G41" s="7" t="inlineStr">
        <is>
          <t xml:space="preserve">2028.11~12</t>
        </is>
      </c>
      <c r="H41" s="7"/>
      <c r="I41" s="5" t="inlineStr">
        <is>
          <t xml:space="preserve">개선 시제품</t>
        </is>
      </c>
    </row>
    <row r="42" ht="40" customHeight="1">
      <c r="B42" s="4" t="inlineStr">
        <is>
          <t xml:space="preserve">1-8</t>
        </is>
      </c>
      <c r="C42" s="5" t="inlineStr">
        <is>
          <t xml:space="preserve">고객 현장 시범</t>
        </is>
      </c>
      <c r="D42" s="5"/>
      <c r="E42" s="5"/>
      <c r="F42" s="5" t="inlineStr">
        <is>
          <t xml:space="preserve">HW팀, SW팀</t>
        </is>
      </c>
      <c r="G42" s="7" t="inlineStr">
        <is>
          <t xml:space="preserve">2029.01~06</t>
        </is>
      </c>
      <c r="H42" s="7"/>
      <c r="I42" s="5" t="inlineStr">
        <is>
          <t xml:space="preserve">시범 결과, 판매 시작</t>
        </is>
      </c>
    </row>
    <row r="43" ht="40" customHeight="1">
      <c r="B43" s="4" t="inlineStr">
        <is>
          <t xml:space="preserve">결정</t>
        </is>
      </c>
      <c r="C43" s="5" t="inlineStr">
        <is>
          <t xml:space="preserve">투입 속도 30% 향상, 잘못된 투입 0건이면 2단계 진행</t>
        </is>
      </c>
      <c r="D43" s="5"/>
      <c r="E43" s="5"/>
      <c r="F43" s="5" t="inlineStr">
        <is>
          <t xml:space="preserve">HW팀, SW팀</t>
        </is>
      </c>
      <c r="G43" s="7" t="inlineStr">
        <is>
          <t xml:space="preserve">2029.06</t>
        </is>
      </c>
      <c r="H43" s="7"/>
      <c r="I43" s="5" t="inlineStr">
        <is>
          <t xml:space="preserve">진행 여부</t>
        </is>
      </c>
    </row>
    <row r="44" ht="26" customHeight="1">
      <c r="B44" s="4" t="inlineStr">
        <is>
          <t xml:space="preserve">2-1</t>
        </is>
      </c>
      <c r="C44" s="5" t="inlineStr">
        <is>
          <t xml:space="preserve">AI 협력 업체 선정, 계약</t>
        </is>
      </c>
      <c r="D44" s="5"/>
      <c r="E44" s="5"/>
      <c r="F44" s="5" t="inlineStr">
        <is>
          <t xml:space="preserve">SW팀</t>
        </is>
      </c>
      <c r="G44" s="7" t="inlineStr">
        <is>
          <t xml:space="preserve">2029.07~08</t>
        </is>
      </c>
      <c r="H44" s="7"/>
      <c r="I44" s="5" t="inlineStr">
        <is>
          <t xml:space="preserve">협력 계약</t>
        </is>
      </c>
    </row>
    <row r="45" ht="40" customHeight="1">
      <c r="B45" s="4" t="inlineStr">
        <is>
          <t xml:space="preserve">2-2</t>
        </is>
      </c>
      <c r="C45" s="5" t="inlineStr">
        <is>
          <t xml:space="preserve">갠트리, 흡착 장치 설계</t>
        </is>
      </c>
      <c r="D45" s="5"/>
      <c r="E45" s="5"/>
      <c r="F45" s="5" t="inlineStr">
        <is>
          <t xml:space="preserve">HW팀</t>
        </is>
      </c>
      <c r="G45" s="7" t="inlineStr">
        <is>
          <t xml:space="preserve">2029.09~2030.01</t>
        </is>
      </c>
      <c r="H45" s="7"/>
      <c r="I45" s="5" t="inlineStr">
        <is>
          <t xml:space="preserve">설계 도면</t>
        </is>
      </c>
    </row>
    <row r="46" ht="26" customHeight="1">
      <c r="B46" s="4" t="inlineStr">
        <is>
          <t xml:space="preserve">2-3</t>
        </is>
      </c>
      <c r="C46" s="5" t="inlineStr">
        <is>
          <t xml:space="preserve">갠트리 제작, 조립</t>
        </is>
      </c>
      <c r="D46" s="5"/>
      <c r="E46" s="5"/>
      <c r="F46" s="5" t="inlineStr">
        <is>
          <t xml:space="preserve">HW팀</t>
        </is>
      </c>
      <c r="G46" s="7" t="inlineStr">
        <is>
          <t xml:space="preserve">2030.02~04</t>
        </is>
      </c>
      <c r="H46" s="7"/>
      <c r="I46" s="5" t="inlineStr">
        <is>
          <t xml:space="preserve">시제품</t>
        </is>
      </c>
    </row>
    <row r="47" ht="40" customHeight="1">
      <c r="B47" s="4" t="inlineStr">
        <is>
          <t xml:space="preserve">2-4</t>
        </is>
      </c>
      <c r="C47" s="5" t="inlineStr">
        <is>
          <t xml:space="preserve">집기 위치 인식 (상자는 규칙, 비닐은 AI)</t>
        </is>
      </c>
      <c r="D47" s="5"/>
      <c r="E47" s="5"/>
      <c r="F47" s="5" t="inlineStr">
        <is>
          <t xml:space="preserve">SW팀, 협력사</t>
        </is>
      </c>
      <c r="G47" s="7" t="inlineStr">
        <is>
          <t xml:space="preserve">2029.10~2030.06</t>
        </is>
      </c>
      <c r="H47" s="7"/>
      <c r="I47" s="5" t="inlineStr">
        <is>
          <t xml:space="preserve">인식 프로그램</t>
        </is>
      </c>
    </row>
    <row r="48" ht="40" customHeight="1">
      <c r="B48" s="4" t="inlineStr">
        <is>
          <t xml:space="preserve">2-5</t>
        </is>
      </c>
      <c r="C48" s="5" t="inlineStr">
        <is>
          <t xml:space="preserve">통합, 사내 시험</t>
        </is>
      </c>
      <c r="D48" s="5"/>
      <c r="E48" s="5"/>
      <c r="F48" s="5" t="inlineStr">
        <is>
          <t xml:space="preserve">HW팀, SW팀</t>
        </is>
      </c>
      <c r="G48" s="7" t="inlineStr">
        <is>
          <t xml:space="preserve">2030.05~10</t>
        </is>
      </c>
      <c r="H48" s="7"/>
      <c r="I48" s="5" t="inlineStr">
        <is>
          <t xml:space="preserve">시험 보고서</t>
        </is>
      </c>
    </row>
    <row r="49" ht="26" customHeight="1">
      <c r="B49" s="4" t="inlineStr">
        <is>
          <t xml:space="preserve">2-6</t>
        </is>
      </c>
      <c r="C49" s="5" t="inlineStr">
        <is>
          <t xml:space="preserve">안전 평가 (펜스, 안전 센서)</t>
        </is>
      </c>
      <c r="D49" s="5"/>
      <c r="E49" s="5"/>
      <c r="F49" s="5" t="inlineStr">
        <is>
          <t xml:space="preserve">HW팀</t>
        </is>
      </c>
      <c r="G49" s="7" t="inlineStr">
        <is>
          <t xml:space="preserve">2030.09~12</t>
        </is>
      </c>
      <c r="H49" s="7"/>
      <c r="I49" s="5" t="inlineStr">
        <is>
          <t xml:space="preserve">평가 결과</t>
        </is>
      </c>
    </row>
    <row r="50" ht="40" customHeight="1">
      <c r="B50" s="4" t="inlineStr">
        <is>
          <t xml:space="preserve">2-7</t>
        </is>
      </c>
      <c r="C50" s="5" t="inlineStr">
        <is>
          <t xml:space="preserve">고객 현장 시범</t>
        </is>
      </c>
      <c r="D50" s="5"/>
      <c r="E50" s="5"/>
      <c r="F50" s="5" t="inlineStr">
        <is>
          <t xml:space="preserve">HW팀, SW팀</t>
        </is>
      </c>
      <c r="G50" s="7" t="inlineStr">
        <is>
          <t xml:space="preserve">2031.01~06</t>
        </is>
      </c>
      <c r="H50" s="7"/>
      <c r="I50" s="5" t="inlineStr">
        <is>
          <t xml:space="preserve">시범 결과</t>
        </is>
      </c>
    </row>
    <row r="51" ht="12" customHeight="1"/>
    <row r="52" ht="25" customHeight="1">
      <c r="B52" s="3" t="inlineStr">
        <is>
          <t xml:space="preserve">4. 사용 모터 (3D 로더 드라이브 기준)</t>
        </is>
      </c>
      <c r="C52" s="3"/>
      <c r="D52" s="3"/>
      <c r="E52" s="3"/>
      <c r="F52" s="3"/>
      <c r="G52" s="3"/>
      <c r="H52" s="3"/>
      <c r="I52" s="3"/>
    </row>
    <row r="53" ht="26" customHeight="1">
      <c r="B53" s="6" t="inlineStr">
        <is>
          <t xml:space="preserve">축</t>
        </is>
      </c>
      <c r="C53" s="6" t="inlineStr">
        <is>
          <t xml:space="preserve">사용 드라이브</t>
        </is>
      </c>
      <c r="D53" s="6"/>
      <c r="E53" s="6"/>
      <c r="F53" s="6"/>
      <c r="G53" s="6" t="inlineStr">
        <is>
          <t xml:space="preserve">필요 토크 (계산값)</t>
        </is>
      </c>
      <c r="H53" s="6"/>
      <c r="I53" s="6"/>
    </row>
    <row r="54" ht="26" customHeight="1">
      <c r="B54" s="4" t="inlineStr">
        <is>
          <t xml:space="preserve">X축</t>
        </is>
      </c>
      <c r="C54" s="5" t="inlineStr">
        <is>
          <t xml:space="preserve">X 드라이브 2대 (동시 구동)</t>
        </is>
      </c>
      <c r="D54" s="5"/>
      <c r="E54" s="5"/>
      <c r="F54" s="5"/>
      <c r="G54" s="7" t="inlineStr">
        <is>
          <t xml:space="preserve">1.4Nm</t>
        </is>
      </c>
      <c r="H54" s="7"/>
      <c r="I54" s="7"/>
    </row>
    <row r="55" ht="26" customHeight="1">
      <c r="B55" s="4" t="inlineStr">
        <is>
          <t xml:space="preserve">Y축</t>
        </is>
      </c>
      <c r="C55" s="5" t="inlineStr">
        <is>
          <t xml:space="preserve">X 드라이브 1대</t>
        </is>
      </c>
      <c r="D55" s="5"/>
      <c r="E55" s="5"/>
      <c r="F55" s="5"/>
      <c r="G55" s="7" t="inlineStr">
        <is>
          <t xml:space="preserve">0.6Nm</t>
        </is>
      </c>
      <c r="H55" s="7"/>
      <c r="I55" s="7"/>
    </row>
    <row r="56" ht="26" customHeight="1">
      <c r="B56" s="4" t="inlineStr">
        <is>
          <t xml:space="preserve">Z축 (상하)</t>
        </is>
      </c>
      <c r="C56" s="5" t="inlineStr">
        <is>
          <t xml:space="preserve">Y 서보 + 감속기 5:1, 브레이크</t>
        </is>
      </c>
      <c r="D56" s="5"/>
      <c r="E56" s="5"/>
      <c r="F56" s="5"/>
      <c r="G56" s="7" t="inlineStr">
        <is>
          <t xml:space="preserve">0.6Nm</t>
        </is>
      </c>
      <c r="H56" s="7"/>
      <c r="I56" s="7"/>
    </row>
    <row r="57" ht="26" customHeight="1">
      <c r="B57" s="4" t="inlineStr">
        <is>
          <t xml:space="preserve">R축 (회전)</t>
        </is>
      </c>
      <c r="C57" s="5" t="inlineStr">
        <is>
          <t xml:space="preserve">TILT 드라이브 + 감속기 20:1</t>
        </is>
      </c>
      <c r="D57" s="5"/>
      <c r="E57" s="5"/>
      <c r="F57" s="5"/>
      <c r="G57" s="7" t="inlineStr">
        <is>
          <t xml:space="preserve">소형</t>
        </is>
      </c>
      <c r="H57" s="7"/>
      <c r="I57" s="7"/>
    </row>
    <row r="58" ht="26" customHeight="1">
      <c r="B58" s="4" t="inlineStr">
        <is>
          <t xml:space="preserve">리프트</t>
        </is>
      </c>
      <c r="C58" s="5" t="inlineStr">
        <is>
          <t xml:space="preserve">Y 서보 + 감속기 5:1, 브레이크</t>
        </is>
      </c>
      <c r="D58" s="5"/>
      <c r="E58" s="5"/>
      <c r="F58" s="5"/>
      <c r="G58" s="7" t="inlineStr">
        <is>
          <t xml:space="preserve">1.0Nm</t>
        </is>
      </c>
      <c r="H58" s="7"/>
      <c r="I58" s="7"/>
    </row>
    <row r="59" ht="12" customHeight="1"/>
    <row r="60" ht="25" customHeight="1">
      <c r="B60" s="3" t="inlineStr">
        <is>
          <t xml:space="preserve">5. 판매가별 수익 (로봇 셀 1대 기준, 단위: 만원)</t>
        </is>
      </c>
      <c r="C60" s="3"/>
      <c r="D60" s="3"/>
      <c r="E60" s="3"/>
      <c r="F60" s="3"/>
      <c r="G60" s="3"/>
      <c r="H60" s="3"/>
      <c r="I60" s="3"/>
    </row>
    <row r="61" ht="25" customHeight="1">
      <c r="B61" s="10" t="inlineStr">
        <is>
          <t xml:space="preserve">파란 글씨 칸은 직접 바꿀 수 있는 값이고, 나머지 칸은 자동으로 계산됨.</t>
        </is>
      </c>
      <c r="C61" s="10"/>
      <c r="D61" s="10"/>
      <c r="E61" s="10"/>
      <c r="F61" s="10"/>
      <c r="G61" s="10"/>
      <c r="H61" s="10"/>
      <c r="I61" s="10"/>
    </row>
    <row r="62" ht="26" customHeight="1">
      <c r="B62" s="6" t="inlineStr">
        <is>
          <t xml:space="preserve">기준 값</t>
        </is>
      </c>
      <c r="C62" s="6" t="inlineStr">
        <is>
          <t xml:space="preserve">값</t>
        </is>
      </c>
      <c r="D62" s="6"/>
      <c r="E62" s="6" t="inlineStr">
        <is>
          <t xml:space="preserve">설명</t>
        </is>
      </c>
      <c r="F62" s="6"/>
      <c r="G62" s="6"/>
      <c r="H62" s="6"/>
      <c r="I62" s="6"/>
    </row>
    <row r="63" ht="40" customHeight="1">
      <c r="B63" s="4" t="inlineStr">
        <is>
          <t xml:space="preserve">재료비</t>
        </is>
      </c>
      <c r="C63" s="12">
        <v>3800</v>
      </c>
      <c r="D63" s="12"/>
      <c r="E63" s="5" t="inlineStr">
        <is>
          <t xml:space="preserve">셀 1대를 만드는 데 드는 부품값 (추정 범위 2,460~5,200의 가운데 값)</t>
        </is>
      </c>
      <c r="F63" s="5"/>
      <c r="G63" s="5"/>
      <c r="H63" s="5"/>
      <c r="I63" s="5"/>
    </row>
    <row r="64" ht="28" customHeight="1">
      <c r="B64" s="4" t="inlineStr">
        <is>
          <t xml:space="preserve">설치비</t>
        </is>
      </c>
      <c r="C64" s="12">
        <v>600</v>
      </c>
      <c r="D64" s="12"/>
      <c r="E64" s="5" t="inlineStr">
        <is>
          <t xml:space="preserve">현장 설치와 시운전에 드는 인건비, 출장비</t>
        </is>
      </c>
      <c r="F64" s="5"/>
      <c r="G64" s="5"/>
      <c r="H64" s="5"/>
      <c r="I64" s="5"/>
    </row>
    <row r="65" ht="40" customHeight="1">
      <c r="B65" s="4" t="inlineStr">
        <is>
          <t xml:space="preserve">AS 예비 비율</t>
        </is>
      </c>
      <c r="C65" s="16">
        <v>0.05</v>
      </c>
      <c r="D65" s="16"/>
      <c r="E65" s="5" t="inlineStr">
        <is>
          <t xml:space="preserve">판매 후 무상 수리에 대비해 판매가에서 따로 남겨 두는 비율</t>
        </is>
      </c>
      <c r="F65" s="5"/>
      <c r="G65" s="5"/>
      <c r="H65" s="5"/>
      <c r="I65" s="5"/>
    </row>
    <row r="66" ht="28" customHeight="1">
      <c r="B66" s="4" t="inlineStr">
        <is>
          <t xml:space="preserve">총 개발비</t>
        </is>
      </c>
      <c r="C66" s="12">
        <v>67000</v>
      </c>
      <c r="D66" s="12"/>
      <c r="E66" s="5" t="inlineStr">
        <is>
          <t xml:space="preserve">0~2단계 개발 인건비와 시제품 비용 합계 (약 6.7억원)</t>
        </is>
      </c>
      <c r="F66" s="5"/>
      <c r="G66" s="5"/>
      <c r="H66" s="5"/>
      <c r="I66" s="5"/>
    </row>
    <row r="67" ht="40" customHeight="1">
      <c r="B67" s="4" t="inlineStr">
        <is>
          <t xml:space="preserve">고객 연간 절감액</t>
        </is>
      </c>
      <c r="C67" s="12">
        <v>7800</v>
      </c>
      <c r="D67" s="12"/>
      <c r="E67" s="5" t="inlineStr">
        <is>
          <t xml:space="preserve">고객이 투입 인원 약 2.5명을 줄일 때 1년에 아끼는 인건비 (2.5명 × 월 260만원 × 12개월)</t>
        </is>
      </c>
      <c r="F67" s="5"/>
      <c r="G67" s="5"/>
      <c r="H67" s="5"/>
      <c r="I67" s="5"/>
    </row>
    <row r="68" ht="8" customHeight="1"/>
    <row r="69" ht="40" customHeight="1">
      <c r="B69" s="6" t="inlineStr">
        <is>
          <t xml:space="preserve">판매가</t>
        </is>
      </c>
      <c r="C69" s="6" t="inlineStr">
        <is>
          <t xml:space="preserve">1대 원가</t>
        </is>
      </c>
      <c r="D69" s="6" t="inlineStr">
        <is>
          <t xml:space="preserve">1대 이익</t>
        </is>
      </c>
      <c r="E69" s="6" t="inlineStr">
        <is>
          <t xml:space="preserve">이익률</t>
        </is>
      </c>
      <c r="F69" s="6" t="inlineStr">
        <is>
          <t xml:space="preserve">개발비 회수</t>
        </is>
      </c>
      <c r="G69" s="6" t="inlineStr">
        <is>
          <t xml:space="preserve">고객 회수 기간</t>
        </is>
      </c>
      <c r="H69" s="6" t="inlineStr">
        <is>
          <t xml:space="preserve">판단</t>
        </is>
      </c>
      <c r="I69" s="6"/>
    </row>
    <row r="70" ht="28" customHeight="1">
      <c r="B70" s="12">
        <v>6000</v>
      </c>
      <c r="C70" s="13">
        <f>$C$63+$C$64+B70*$C$65</f>
        <v>4700</v>
      </c>
      <c r="D70" s="13">
        <f>B70-C70</f>
        <v>1300</v>
      </c>
      <c r="E70" s="14">
        <f>IF(B70=0,0,D70/B70)</f>
        <v>0.2167</v>
      </c>
      <c r="F70" s="15">
        <f>IF(D70&lt;=0,0,ROUNDUP($C$66/D70,0))</f>
        <v>52</v>
      </c>
      <c r="G70" s="17">
        <f>IF($C$67=0,0,B70/$C$67)</f>
        <v>0.77</v>
      </c>
      <c r="H70" s="5" t="str">
        <f>IF(E70&lt;0.25,"이익 부족",IF(E70&lt;0.45,"적정 (제안 가격대)","이익 높음, 가격 경쟁력 확인 필요"))</f>
        <v>이익 부족</v>
      </c>
      <c r="I70" s="5"/>
    </row>
    <row r="71" ht="28" customHeight="1">
      <c r="B71" s="12">
        <v>8000</v>
      </c>
      <c r="C71" s="13">
        <f>$C$63+$C$64+B71*$C$65</f>
        <v>4800</v>
      </c>
      <c r="D71" s="13">
        <f>B71-C71</f>
        <v>3200</v>
      </c>
      <c r="E71" s="14">
        <f>IF(B71=0,0,D71/B71)</f>
        <v>0.4</v>
      </c>
      <c r="F71" s="15">
        <f>IF(D71&lt;=0,0,ROUNDUP($C$66/D71,0))</f>
        <v>21</v>
      </c>
      <c r="G71" s="17">
        <f>IF($C$67=0,0,B71/$C$67)</f>
        <v>1.03</v>
      </c>
      <c r="H71" s="5" t="str">
        <f>IF(E71&lt;0.25,"이익 부족",IF(E71&lt;0.45,"적정 (제안 가격대)","이익 높음, 가격 경쟁력 확인 필요"))</f>
        <v>적정 (제안 가격대)</v>
      </c>
      <c r="I71" s="5"/>
    </row>
    <row r="72" ht="28" customHeight="1">
      <c r="B72" s="12">
        <v>10000</v>
      </c>
      <c r="C72" s="13">
        <f>$C$63+$C$64+B72*$C$65</f>
        <v>4900</v>
      </c>
      <c r="D72" s="13">
        <f>B72-C72</f>
        <v>5100</v>
      </c>
      <c r="E72" s="14">
        <f>IF(B72=0,0,D72/B72)</f>
        <v>0.51</v>
      </c>
      <c r="F72" s="15">
        <f>IF(D72&lt;=0,0,ROUNDUP($C$66/D72,0))</f>
        <v>14</v>
      </c>
      <c r="G72" s="17">
        <f>IF($C$67=0,0,B72/$C$67)</f>
        <v>1.28</v>
      </c>
      <c r="H72" s="5" t="str">
        <f>IF(E72&lt;0.25,"이익 부족",IF(E72&lt;0.45,"적정 (제안 가격대)","이익 높음, 가격 경쟁력 확인 필요"))</f>
        <v>이익 높음, 가격 경쟁력 확인 필요</v>
      </c>
      <c r="I72" s="5"/>
    </row>
    <row r="73" ht="8" customHeight="1"/>
    <row r="74" ht="26" customHeight="1">
      <c r="B74" s="6" t="inlineStr">
        <is>
          <t xml:space="preserve">용어</t>
        </is>
      </c>
      <c r="C74" s="6" t="inlineStr">
        <is>
          <t xml:space="preserve">뜻과 계산 방법</t>
        </is>
      </c>
      <c r="D74" s="6"/>
      <c r="E74" s="6"/>
      <c r="F74" s="6"/>
      <c r="G74" s="6"/>
      <c r="H74" s="6"/>
      <c r="I74" s="6"/>
    </row>
    <row r="75" ht="30" customHeight="1">
      <c r="B75" s="4" t="inlineStr">
        <is>
          <t xml:space="preserve">1대 원가</t>
        </is>
      </c>
      <c r="C75" s="5" t="inlineStr">
        <is>
          <t xml:space="preserve">재료비 + 설치비 + AS 예비(판매가 × AS 예비 비율)</t>
        </is>
      </c>
      <c r="D75" s="5"/>
      <c r="E75" s="5"/>
      <c r="F75" s="5"/>
      <c r="G75" s="5"/>
      <c r="H75" s="5"/>
      <c r="I75" s="5"/>
    </row>
    <row r="76" ht="30" customHeight="1">
      <c r="B76" s="4" t="inlineStr">
        <is>
          <t xml:space="preserve">1대 이익</t>
        </is>
      </c>
      <c r="C76" s="5" t="inlineStr">
        <is>
          <t xml:space="preserve">판매가 - 1대 원가. 1대를 팔았을 때 회사에 남는 돈</t>
        </is>
      </c>
      <c r="D76" s="5"/>
      <c r="E76" s="5"/>
      <c r="F76" s="5"/>
      <c r="G76" s="5"/>
      <c r="H76" s="5"/>
      <c r="I76" s="5"/>
    </row>
    <row r="77" ht="30" customHeight="1">
      <c r="B77" s="4" t="inlineStr">
        <is>
          <t xml:space="preserve">이익률</t>
        </is>
      </c>
      <c r="C77" s="5" t="inlineStr">
        <is>
          <t xml:space="preserve">1대 이익 ÷ 판매가. 판매가 중 회사에 남는 비율</t>
        </is>
      </c>
      <c r="D77" s="5"/>
      <c r="E77" s="5"/>
      <c r="F77" s="5"/>
      <c r="G77" s="5"/>
      <c r="H77" s="5"/>
      <c r="I77" s="5"/>
    </row>
    <row r="78" ht="30" customHeight="1">
      <c r="B78" s="4" t="inlineStr">
        <is>
          <t xml:space="preserve">개발비 회수</t>
        </is>
      </c>
      <c r="C78" s="5" t="inlineStr">
        <is>
          <t xml:space="preserve">총 개발비 ÷ 1대 이익. 이 대수만큼 팔아야 개발에 쓴 돈을 모두 되찾음</t>
        </is>
      </c>
      <c r="D78" s="5"/>
      <c r="E78" s="5"/>
      <c r="F78" s="5"/>
      <c r="G78" s="5"/>
      <c r="H78" s="5"/>
      <c r="I78" s="5"/>
    </row>
    <row r="79" ht="40" customHeight="1">
      <c r="B79" s="4" t="inlineStr">
        <is>
          <t xml:space="preserve">고객 회수 기간</t>
        </is>
      </c>
      <c r="C79" s="5" t="inlineStr">
        <is>
          <t xml:space="preserve">판매가 ÷ 고객 연간 절감액. 고객이 줄어든 인건비로 장비 값을 되찾는 데 걸리는 기간</t>
        </is>
      </c>
      <c r="D79" s="5"/>
      <c r="E79" s="5"/>
      <c r="F79" s="5"/>
      <c r="G79" s="5"/>
      <c r="H79" s="5"/>
      <c r="I79" s="5"/>
    </row>
    <row r="80" ht="40" customHeight="1">
      <c r="B80" s="4" t="inlineStr">
        <is>
          <t xml:space="preserve">정리</t>
        </is>
      </c>
      <c r="C80" s="5" t="inlineStr">
        <is>
          <t xml:space="preserve">8,000만원에 팔면 1대에 약 3,200만원(이익률 40%)이 남고, 21대를 팔면 개발비를 회수함. 고객은 약 1년이면 장비 값을 회수함.</t>
        </is>
      </c>
      <c r="D80" s="5"/>
      <c r="E80" s="5"/>
      <c r="F80" s="5"/>
      <c r="G80" s="5"/>
      <c r="H80" s="5"/>
      <c r="I80" s="5"/>
    </row>
    <row r="81" ht="12" customHeight="1"/>
    <row r="82" ht="25" customHeight="1">
      <c r="B82" s="3" t="inlineStr">
        <is>
          <t xml:space="preserve">6. 다른 기업 비교</t>
        </is>
      </c>
      <c r="C82" s="3"/>
      <c r="D82" s="3"/>
      <c r="E82" s="3"/>
      <c r="F82" s="3"/>
      <c r="G82" s="3"/>
      <c r="H82" s="3"/>
      <c r="I82" s="3"/>
    </row>
    <row r="83" ht="26" customHeight="1">
      <c r="B83" s="6" t="inlineStr">
        <is>
          <t xml:space="preserve">기업</t>
        </is>
      </c>
      <c r="C83" s="6" t="inlineStr">
        <is>
          <t xml:space="preserve">방식</t>
        </is>
      </c>
      <c r="D83" s="6"/>
      <c r="E83" s="6" t="inlineStr">
        <is>
          <t xml:space="preserve">장점</t>
        </is>
      </c>
      <c r="F83" s="6"/>
      <c r="G83" s="6" t="inlineStr">
        <is>
          <t xml:space="preserve">단점 (본 제안과 차이)</t>
        </is>
      </c>
      <c r="H83" s="6"/>
      <c r="I83" s="6"/>
    </row>
    <row r="84" ht="40" customHeight="1">
      <c r="B84" s="4" t="inlineStr">
        <is>
          <t xml:space="preserve">Berkshire Grey</t>
        </is>
      </c>
      <c r="C84" s="5" t="inlineStr">
        <is>
          <t xml:space="preserve">로봇 팔과 흡착으로 토트에서 집어 투입하는 대형 시스템</t>
        </is>
      </c>
      <c r="D84" s="5"/>
      <c r="E84" s="5" t="inlineStr">
        <is>
          <t xml:space="preserve">여러 소터와 호환, 대규모 현장 실적</t>
        </is>
      </c>
      <c r="F84" s="5"/>
      <c r="G84" s="5" t="inlineStr">
        <is>
          <t xml:space="preserve">시스템 규모와 가격이 큼, 남의 소터에 맞춰 설치</t>
        </is>
      </c>
      <c r="H84" s="5"/>
      <c r="I84" s="5"/>
    </row>
    <row r="85" ht="55" customHeight="1">
      <c r="B85" s="4" t="inlineStr">
        <is>
          <t xml:space="preserve">OSARO, Plus One</t>
        </is>
      </c>
      <c r="C85" s="5" t="inlineStr">
        <is>
          <t xml:space="preserve">AI 피킹 소프트웨어 중심의 로봇 투입 셀</t>
        </is>
      </c>
      <c r="D85" s="5"/>
      <c r="E85" s="5" t="inlineStr">
        <is>
          <t xml:space="preserve">상품 인식 기술이 강함, 시간당 1,500개 이상(제조사 발표)</t>
        </is>
      </c>
      <c r="F85" s="5"/>
      <c r="G85" s="5" t="inlineStr">
        <is>
          <t xml:space="preserve">하드웨어와 소터 연동은 별도 통합 필요</t>
        </is>
      </c>
      <c r="H85" s="5"/>
      <c r="I85" s="5"/>
    </row>
    <row r="86" ht="55" customHeight="1">
      <c r="B86" s="4" t="inlineStr">
        <is>
          <t xml:space="preserve">Tompkins Robotics</t>
        </is>
      </c>
      <c r="C86" s="5" t="inlineStr">
        <is>
          <t xml:space="preserve">작업자가 놓으면 리프트가 맞는 층으로 올려 주는 투입 보조 장치</t>
        </is>
      </c>
      <c r="D86" s="5"/>
      <c r="E86" s="5" t="inlineStr">
        <is>
          <t xml:space="preserve">AI 없이 바로 적용, 다층 소터 대응</t>
        </is>
      </c>
      <c r="F86" s="5"/>
      <c r="G86" s="5" t="inlineStr">
        <is>
          <t xml:space="preserve">작업자가 계속 필요, 해외 제품이라 국내 지원 제한</t>
        </is>
      </c>
      <c r="H86" s="5"/>
      <c r="I86" s="5"/>
    </row>
    <row r="87" ht="40" customHeight="1">
      <c r="B87" s="4" t="inlineStr">
        <is>
          <t xml:space="preserve">Geek+</t>
        </is>
      </c>
      <c r="C87" s="5" t="inlineStr">
        <is>
          <t xml:space="preserve">사람 투입과 자동 투입을 섞어 운영하는 분류 로봇</t>
        </is>
      </c>
      <c r="D87" s="5"/>
      <c r="E87" s="5" t="inlineStr">
        <is>
          <t xml:space="preserve">대형 현장 운영 실적, 가격 경쟁력</t>
        </is>
      </c>
      <c r="F87" s="5"/>
      <c r="G87" s="5" t="inlineStr">
        <is>
          <t xml:space="preserve">자사 소터 중심 시스템</t>
        </is>
      </c>
      <c r="H87" s="5"/>
      <c r="I87" s="5"/>
    </row>
    <row r="88" ht="70" customHeight="1">
      <c r="B88" s="4" t="inlineStr">
        <is>
          <t xml:space="preserve">본 제안</t>
        </is>
      </c>
      <c r="C88" s="5" t="inlineStr">
        <is>
          <t xml:space="preserve">데이터 확인 → 투입 보조 장치 → 갠트리 로봇 셀 순서로 진행</t>
        </is>
      </c>
      <c r="D88" s="5"/>
      <c r="E88" s="5" t="inlineStr">
        <is>
          <t xml:space="preserve">자사 소터에 맞춘 투입 설계, 3D 로더 부품 재사용으로 원가 절감, 단계별로 위험을 줄임</t>
        </is>
      </c>
      <c r="F88" s="5"/>
      <c r="G88" s="5" t="inlineStr">
        <is>
          <t xml:space="preserve">AI 피킹 기술과 실적이 없음, 후발 주자, 2단계는 외부 협력에 의존</t>
        </is>
      </c>
      <c r="H88" s="5"/>
      <c r="I88" s="5"/>
    </row>
    <row r="89" ht="12" customHeight="1"/>
    <row r="90" ht="25" customHeight="1">
      <c r="B90" s="3" t="inlineStr">
        <is>
          <t xml:space="preserve">7. 현실성 판단</t>
        </is>
      </c>
      <c r="C90" s="3"/>
      <c r="D90" s="3"/>
      <c r="E90" s="3"/>
      <c r="F90" s="3"/>
      <c r="G90" s="3"/>
      <c r="H90" s="3"/>
      <c r="I90" s="3"/>
    </row>
    <row r="91" ht="40" customHeight="1">
      <c r="B91" s="4" t="inlineStr">
        <is>
          <t xml:space="preserve">판단</t>
        </is>
      </c>
      <c r="C91" s="5" t="inlineStr">
        <is>
          <t xml:space="preserve">0단계와 1단계는 현실성 높음. 2단계 로봇 셀은 1단계 결과와 외부 협력이 확보될 때 진행하는 조건부 과제임.</t>
        </is>
      </c>
      <c r="D91" s="5"/>
      <c r="E91" s="5"/>
      <c r="F91" s="5"/>
      <c r="G91" s="5"/>
      <c r="H91" s="5"/>
      <c r="I91" s="5"/>
    </row>
    <row r="92" ht="40" customHeight="1">
      <c r="B92" s="4" t="inlineStr">
        <is>
          <t xml:space="preserve">근거</t>
        </is>
      </c>
      <c r="C92" s="5" t="inlineStr">
        <is>
          <t xml:space="preserve">1단계와 같은 사람 보조형 투입 장치가 해외에서 이미 판매되고 있음. 바코드 인식, 리프트, 컨베이어는 AI 없이 구현 가능하며 3D 로더 기술과 부품을 그대로 쓸 수 있음.</t>
        </is>
      </c>
      <c r="D92" s="5"/>
      <c r="E92" s="5"/>
      <c r="F92" s="5"/>
      <c r="G92" s="5"/>
      <c r="H92" s="5"/>
      <c r="I92" s="5"/>
    </row>
    <row r="93" ht="40" customHeight="1">
      <c r="B93" s="4" t="inlineStr">
        <is>
          <t xml:space="preserve">주의할 점</t>
        </is>
      </c>
      <c r="C93" s="5" t="inlineStr">
        <is>
          <t xml:space="preserve">투입 속도가 실제로 얼마나 빨라지는지는 0단계 측정 전에는 알 수 없음. 로봇 셀은 상품 종류(비닐, 병, 작은 상품)에 따라 성공률 차이가 크고, 관련 특허 확인이 필요함.</t>
        </is>
      </c>
      <c r="D93" s="5"/>
      <c r="E93" s="5"/>
      <c r="F93" s="5"/>
      <c r="G93" s="5"/>
      <c r="H93" s="5"/>
      <c r="I93" s="5"/>
    </row>
    <row r="94" ht="12" customHeight="1"/>
    <row r="95" ht="25" customHeight="1">
      <c r="B95" s="3" t="inlineStr">
        <is>
          <t xml:space="preserve">8. 참고 자료</t>
        </is>
      </c>
      <c r="C95" s="3"/>
      <c r="D95" s="3"/>
      <c r="E95" s="3"/>
      <c r="F95" s="3"/>
      <c r="G95" s="3"/>
      <c r="H95" s="3"/>
      <c r="I95" s="3"/>
    </row>
    <row r="96" ht="30" customHeight="1">
      <c r="B96" s="4" t="inlineStr">
        <is>
          <t xml:space="preserve">시연 화면</t>
        </is>
      </c>
      <c r="C96" s="11" t="str">
        <f>HYPERLINK("https://claude.ai/artifact/PFB23J3fvYfSik1jXWat3s","투입 흐름 3D 화면")</f>
        <v>투입 흐름 3D 화면</v>
      </c>
      <c r="D96" s="11"/>
      <c r="E96" s="11"/>
      <c r="F96" s="11"/>
      <c r="G96" s="11"/>
      <c r="H96" s="11"/>
      <c r="I96" s="11"/>
    </row>
    <row r="97" ht="30" customHeight="1">
      <c r="B97" s="4" t="inlineStr">
        <is>
          <t xml:space="preserve">첨부 문서</t>
        </is>
      </c>
      <c r="C97" s="5" t="inlineStr">
        <is>
          <t xml:space="preserve">로봇소터_투입자동화_보고서_v2_박성원.pdf</t>
        </is>
      </c>
      <c r="D97" s="5"/>
      <c r="E97" s="5"/>
      <c r="F97" s="5"/>
      <c r="G97" s="5"/>
      <c r="H97" s="5"/>
      <c r="I97" s="5"/>
    </row>
    <row r="98" ht="55" customHeight="1">
      <c r="B98" s="4" t="inlineStr">
        <is>
          <t xml:space="preserve">조사 출처</t>
        </is>
      </c>
      <c r="C98" s="5" t="inlineStr">
        <is>
          <t xml:space="preserve">Berkshire Grey, OSARO, Plus One Robotics, Tompkins Robotics, Geek+ 공개 자료, 2026 최저임금 고시, 사내 threeD_roder 코드 (2026-10-26 확인)</t>
        </is>
      </c>
      <c r="D98" s="5"/>
      <c r="E98" s="5"/>
      <c r="F98" s="5"/>
      <c r="G98" s="5"/>
      <c r="H98" s="5"/>
      <c r="I98" s="5"/>
    </row>
    <row r="99" ht="40" customHeight="1">
      <c r="B99" s="10" t="inlineStr">
        <is>
          <t xml:space="preserve">※ 비용, 기간, 토크는 추정 및 계산값이며 견적과 시제품 결과에 따라 달라질 수 있음. 개발비 6.7억은 투입 인원 기준 추정.</t>
        </is>
      </c>
      <c r="C99" s="10"/>
      <c r="D99" s="10"/>
      <c r="E99" s="10"/>
      <c r="F99" s="10"/>
      <c r="G99" s="10"/>
      <c r="H99" s="10"/>
      <c r="I99" s="10"/>
    </row>
  </sheetData>
  <mergeCells count="138">
    <mergeCell ref="B2:I2"/>
    <mergeCell ref="B3:I3"/>
    <mergeCell ref="C5:E5"/>
    <mergeCell ref="C6:E6"/>
    <mergeCell ref="G6:I6"/>
    <mergeCell ref="B8:I8"/>
    <mergeCell ref="B9:C9"/>
    <mergeCell ref="D9:E9"/>
    <mergeCell ref="F9:G9"/>
    <mergeCell ref="H9:I9"/>
    <mergeCell ref="B10:C10"/>
    <mergeCell ref="D10:E10"/>
    <mergeCell ref="F10:G10"/>
    <mergeCell ref="H10:I10"/>
    <mergeCell ref="B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B24:I24"/>
    <mergeCell ref="D27:F27"/>
    <mergeCell ref="G28:I28"/>
    <mergeCell ref="C29:E29"/>
    <mergeCell ref="G29:H29"/>
    <mergeCell ref="C30:E30"/>
    <mergeCell ref="G30:H30"/>
    <mergeCell ref="C31:E31"/>
    <mergeCell ref="G31:H31"/>
    <mergeCell ref="C32:E32"/>
    <mergeCell ref="G32:H32"/>
    <mergeCell ref="C33:E33"/>
    <mergeCell ref="G33:H33"/>
    <mergeCell ref="C34:E34"/>
    <mergeCell ref="G34:H34"/>
    <mergeCell ref="C35:E35"/>
    <mergeCell ref="G35:H35"/>
    <mergeCell ref="C36:E36"/>
    <mergeCell ref="G36:H36"/>
    <mergeCell ref="C37:E37"/>
    <mergeCell ref="G37:H37"/>
    <mergeCell ref="C38:E38"/>
    <mergeCell ref="G38:H38"/>
    <mergeCell ref="C39:E39"/>
    <mergeCell ref="G39:H39"/>
    <mergeCell ref="C40:E40"/>
    <mergeCell ref="G40:H40"/>
    <mergeCell ref="C41:E41"/>
    <mergeCell ref="G41:H41"/>
    <mergeCell ref="C42:E42"/>
    <mergeCell ref="G42:H42"/>
    <mergeCell ref="C43:E43"/>
    <mergeCell ref="G43:H43"/>
    <mergeCell ref="C44:E44"/>
    <mergeCell ref="G44:H44"/>
    <mergeCell ref="C45:E45"/>
    <mergeCell ref="G45:H45"/>
    <mergeCell ref="C46:E46"/>
    <mergeCell ref="G46:H46"/>
    <mergeCell ref="C47:E47"/>
    <mergeCell ref="G47:H47"/>
    <mergeCell ref="C48:E48"/>
    <mergeCell ref="G48:H48"/>
    <mergeCell ref="C49:E49"/>
    <mergeCell ref="G49:H49"/>
    <mergeCell ref="C50:E50"/>
    <mergeCell ref="G50:H50"/>
    <mergeCell ref="B52:I52"/>
    <mergeCell ref="C53:F53"/>
    <mergeCell ref="G53:I53"/>
    <mergeCell ref="C54:F54"/>
    <mergeCell ref="G54:I54"/>
    <mergeCell ref="C55:F55"/>
    <mergeCell ref="G55:I55"/>
    <mergeCell ref="C56:F56"/>
    <mergeCell ref="G56:I56"/>
    <mergeCell ref="C57:F57"/>
    <mergeCell ref="G57:I57"/>
    <mergeCell ref="C58:F58"/>
    <mergeCell ref="G58:I58"/>
    <mergeCell ref="B60:I60"/>
    <mergeCell ref="B61:I61"/>
    <mergeCell ref="C62:D62"/>
    <mergeCell ref="E62:I62"/>
    <mergeCell ref="C63:D63"/>
    <mergeCell ref="E63:I63"/>
    <mergeCell ref="C64:D64"/>
    <mergeCell ref="E64:I64"/>
    <mergeCell ref="C65:D65"/>
    <mergeCell ref="E65:I65"/>
    <mergeCell ref="C66:D66"/>
    <mergeCell ref="E66:I66"/>
    <mergeCell ref="C67:D67"/>
    <mergeCell ref="E67:I67"/>
    <mergeCell ref="H69:I69"/>
    <mergeCell ref="H70:I70"/>
    <mergeCell ref="H71:I71"/>
    <mergeCell ref="H72:I72"/>
    <mergeCell ref="C74:I74"/>
    <mergeCell ref="C75:I75"/>
    <mergeCell ref="C76:I76"/>
    <mergeCell ref="C77:I77"/>
    <mergeCell ref="C78:I78"/>
    <mergeCell ref="C79:I79"/>
    <mergeCell ref="C80:I80"/>
    <mergeCell ref="B82:I82"/>
    <mergeCell ref="C83:D83"/>
    <mergeCell ref="E83:F83"/>
    <mergeCell ref="G83:I83"/>
    <mergeCell ref="C84:D84"/>
    <mergeCell ref="E84:F84"/>
    <mergeCell ref="G84:I84"/>
    <mergeCell ref="C85:D85"/>
    <mergeCell ref="E85:F85"/>
    <mergeCell ref="G85:I85"/>
    <mergeCell ref="C86:D86"/>
    <mergeCell ref="E86:F86"/>
    <mergeCell ref="G86:I86"/>
    <mergeCell ref="C87:D87"/>
    <mergeCell ref="E87:F87"/>
    <mergeCell ref="G87:I87"/>
    <mergeCell ref="C88:D88"/>
    <mergeCell ref="E88:F88"/>
    <mergeCell ref="G88:I88"/>
    <mergeCell ref="B90:I90"/>
    <mergeCell ref="C91:I91"/>
    <mergeCell ref="C92:I92"/>
    <mergeCell ref="C93:I93"/>
    <mergeCell ref="B95:I95"/>
    <mergeCell ref="C96:I96"/>
    <mergeCell ref="C97:I97"/>
    <mergeCell ref="C98:I98"/>
    <mergeCell ref="B99:I99"/>
  </mergeCells>
  <pageMargins left="0.4" right="0.4" top="0.5" bottom="0.5" header="0.3" footer="0.3"/>
  <pageSetup paperSize="9" orientation="portrait" fitToWidth="1" fitToHeight="0"/>
  <headerFooter>
    <oddFooter>&amp;C아이디어 제안서 (2) 로봇소터 투입 자동화 - &amp;P / &amp;N</oddFooter>
  </headerFooter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아이디어 제안서</dc:title>
  <dc:creator>박성원</dc:creator>
  <dcterms:created xsi:type="dcterms:W3CDTF">2026-10-26T00:00:00Z</dcterms:created>
</cp:coreProperties>
</file>